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nusu-my.sharepoint.com/personal/e0406787_u_nus_edu/Documents/Y4S1/RE2708/Part1/"/>
    </mc:Choice>
  </mc:AlternateContent>
  <xr:revisionPtr revIDLastSave="133400" documentId="13_ncr:1_{3F009B44-7B61-476B-87AE-2DF678302A35}" xr6:coauthVersionLast="47" xr6:coauthVersionMax="47" xr10:uidLastSave="{7404E7CA-CED0-4C11-9F6D-F214199D2AED}"/>
  <bookViews>
    <workbookView xWindow="-120" yWindow="-120" windowWidth="29040" windowHeight="15720" tabRatio="654" activeTab="8" xr2:uid="{3F952128-BAD5-DE44-892B-7D66AAA75D3B}"/>
  </bookViews>
  <sheets>
    <sheet name="Info" sheetId="5" r:id="rId1"/>
    <sheet name="Part 1" sheetId="13" r:id="rId2"/>
    <sheet name="Part 2" sheetId="1" r:id="rId3"/>
    <sheet name="Part 3" sheetId="12" r:id="rId4"/>
    <sheet name="Part 4" sheetId="2" r:id="rId5"/>
    <sheet name="Part 4 - Agent 1" sheetId="17" r:id="rId6"/>
    <sheet name="Part 4 - Agent 2" sheetId="16" r:id="rId7"/>
    <sheet name="Part 4 - Agent 3" sheetId="15" r:id="rId8"/>
    <sheet name="Part 4 - Agent 4" sheetId="14" r:id="rId9"/>
    <sheet name="Part 5" sheetId="3" r:id="rId10"/>
    <sheet name="Part 6" sheetId="20" r:id="rId1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8" i="3" l="1"/>
  <c r="H28" i="3" s="1"/>
  <c r="I28" i="3" s="1"/>
  <c r="J28" i="3" s="1"/>
  <c r="K28" i="3" s="1"/>
  <c r="C28" i="3"/>
  <c r="D28" i="3" s="1"/>
  <c r="E28" i="3" s="1"/>
  <c r="F28" i="3" s="1"/>
  <c r="G27" i="3"/>
  <c r="H27" i="3" s="1"/>
  <c r="I27" i="3" s="1"/>
  <c r="J27" i="3" s="1"/>
  <c r="K27" i="3" s="1"/>
  <c r="C27" i="3"/>
  <c r="D27" i="3" s="1"/>
  <c r="E27" i="3" s="1"/>
  <c r="F27" i="3" s="1"/>
  <c r="C26" i="3"/>
  <c r="D26" i="3" s="1"/>
  <c r="E26" i="3" s="1"/>
  <c r="F26" i="3" s="1"/>
  <c r="G26" i="3" s="1"/>
  <c r="H26" i="3" s="1"/>
  <c r="I26" i="3" s="1"/>
  <c r="J26" i="3" s="1"/>
  <c r="K26" i="3" s="1"/>
  <c r="C25" i="3"/>
  <c r="D25" i="3" s="1"/>
  <c r="E25" i="3" s="1"/>
  <c r="F25" i="3" s="1"/>
  <c r="G25" i="3" s="1"/>
  <c r="H25" i="3" s="1"/>
  <c r="I25" i="3" s="1"/>
  <c r="J25" i="3" s="1"/>
  <c r="K25" i="3" s="1"/>
  <c r="C24" i="3"/>
  <c r="D24" i="3" s="1"/>
  <c r="E24" i="3" s="1"/>
  <c r="F24" i="3" s="1"/>
  <c r="G24" i="3" s="1"/>
  <c r="H24" i="3" s="1"/>
  <c r="I24" i="3" s="1"/>
  <c r="J24" i="3" s="1"/>
  <c r="K24" i="3" s="1"/>
  <c r="C23" i="3"/>
  <c r="K21" i="3"/>
  <c r="J21" i="3"/>
  <c r="I21" i="3"/>
  <c r="H21" i="3"/>
  <c r="G21" i="3"/>
  <c r="F21" i="3"/>
  <c r="E21" i="3"/>
  <c r="D21" i="3"/>
  <c r="C21" i="3"/>
  <c r="K20" i="3"/>
  <c r="J20" i="3"/>
  <c r="I20" i="3"/>
  <c r="H20" i="3"/>
  <c r="G20" i="3"/>
  <c r="F20" i="3"/>
  <c r="E20" i="3"/>
  <c r="D20" i="3"/>
  <c r="C20" i="3"/>
  <c r="K19" i="3"/>
  <c r="J19" i="3"/>
  <c r="I19" i="3"/>
  <c r="H19" i="3"/>
  <c r="G19" i="3"/>
  <c r="F19" i="3"/>
  <c r="E19" i="3"/>
  <c r="D19" i="3"/>
  <c r="C19" i="3"/>
  <c r="D18" i="3"/>
  <c r="E18" i="3" s="1"/>
  <c r="F18" i="3" s="1"/>
  <c r="G18" i="3" s="1"/>
  <c r="D17" i="3"/>
  <c r="E17" i="3" s="1"/>
  <c r="E30" i="3" l="1"/>
  <c r="F17" i="3"/>
  <c r="F30" i="3" s="1"/>
  <c r="G30" i="3"/>
  <c r="H18" i="3"/>
  <c r="C30" i="3"/>
  <c r="D30" i="3"/>
  <c r="I18" i="3" l="1"/>
  <c r="H30" i="3"/>
  <c r="I30" i="3" l="1"/>
  <c r="J18" i="3"/>
  <c r="J30" i="3" l="1"/>
  <c r="K18" i="3"/>
  <c r="K30" i="3" s="1"/>
  <c r="B34" i="3"/>
  <c r="D5" i="1" l="1"/>
  <c r="AG28" i="3"/>
  <c r="AH28" i="3" s="1"/>
  <c r="AI28" i="3" s="1"/>
  <c r="AJ28" i="3" s="1"/>
  <c r="AK28" i="3" s="1"/>
  <c r="AC28" i="3"/>
  <c r="AD28" i="3" s="1"/>
  <c r="AE28" i="3" s="1"/>
  <c r="AF28" i="3" s="1"/>
  <c r="AG27" i="3"/>
  <c r="AH27" i="3" s="1"/>
  <c r="AI27" i="3" s="1"/>
  <c r="AJ27" i="3" s="1"/>
  <c r="AK27" i="3" s="1"/>
  <c r="AC27" i="3"/>
  <c r="AD27" i="3" s="1"/>
  <c r="AE27" i="3" s="1"/>
  <c r="AF27" i="3" s="1"/>
  <c r="AC26" i="3"/>
  <c r="AD26" i="3" s="1"/>
  <c r="AE26" i="3" s="1"/>
  <c r="AF26" i="3" s="1"/>
  <c r="AG26" i="3" s="1"/>
  <c r="AH26" i="3" s="1"/>
  <c r="AI26" i="3" s="1"/>
  <c r="AJ26" i="3" s="1"/>
  <c r="AK26" i="3" s="1"/>
  <c r="AC25" i="3"/>
  <c r="AD25" i="3" s="1"/>
  <c r="AE25" i="3" s="1"/>
  <c r="AF25" i="3" s="1"/>
  <c r="AG25" i="3" s="1"/>
  <c r="AH25" i="3" s="1"/>
  <c r="AI25" i="3" s="1"/>
  <c r="AJ25" i="3" s="1"/>
  <c r="AK25" i="3" s="1"/>
  <c r="AC24" i="3"/>
  <c r="AD24" i="3" s="1"/>
  <c r="AE24" i="3" s="1"/>
  <c r="AF24" i="3" s="1"/>
  <c r="AG24" i="3" s="1"/>
  <c r="AH24" i="3" s="1"/>
  <c r="AI24" i="3" s="1"/>
  <c r="AJ24" i="3" s="1"/>
  <c r="AK24" i="3" s="1"/>
  <c r="AC23" i="3"/>
  <c r="AK21" i="3"/>
  <c r="AJ21" i="3"/>
  <c r="AI21" i="3"/>
  <c r="AH21" i="3"/>
  <c r="AG21" i="3"/>
  <c r="AF21" i="3"/>
  <c r="AE21" i="3"/>
  <c r="AD21" i="3"/>
  <c r="AC21" i="3"/>
  <c r="AK20" i="3"/>
  <c r="AJ20" i="3"/>
  <c r="AI20" i="3"/>
  <c r="AH20" i="3"/>
  <c r="AG20" i="3"/>
  <c r="AF20" i="3"/>
  <c r="AE20" i="3"/>
  <c r="AD20" i="3"/>
  <c r="AC20" i="3"/>
  <c r="AK19" i="3"/>
  <c r="AJ19" i="3"/>
  <c r="AI19" i="3"/>
  <c r="AH19" i="3"/>
  <c r="AG19" i="3"/>
  <c r="AF19" i="3"/>
  <c r="AE19" i="3"/>
  <c r="AD19" i="3"/>
  <c r="AC19" i="3"/>
  <c r="AD18" i="3"/>
  <c r="AE18" i="3" s="1"/>
  <c r="AF18" i="3" s="1"/>
  <c r="AG18" i="3" s="1"/>
  <c r="AD17" i="3"/>
  <c r="AC30" i="3" l="1"/>
  <c r="AD30" i="3"/>
  <c r="AH18" i="3"/>
  <c r="AG30" i="3"/>
  <c r="AE17" i="3"/>
  <c r="AD5" i="1"/>
  <c r="AH30" i="3" l="1"/>
  <c r="AI18" i="3"/>
  <c r="AE30" i="3"/>
  <c r="AF17" i="3"/>
  <c r="AF30" i="3" s="1"/>
  <c r="AI30" i="3" l="1"/>
  <c r="AJ18" i="3"/>
  <c r="AJ30" i="3" l="1"/>
  <c r="AK18" i="3"/>
  <c r="AK30" i="3" s="1"/>
  <c r="AB34" i="3" l="1"/>
</calcChain>
</file>

<file path=xl/sharedStrings.xml><?xml version="1.0" encoding="utf-8"?>
<sst xmlns="http://schemas.openxmlformats.org/spreadsheetml/2006/main" count="1251" uniqueCount="534">
  <si>
    <t>?</t>
  </si>
  <si>
    <t>Year</t>
  </si>
  <si>
    <t>RE2708</t>
  </si>
  <si>
    <t>Computational Thinking and Programming for Real Estate</t>
  </si>
  <si>
    <t>Individual Project</t>
  </si>
  <si>
    <t>Student Name:</t>
  </si>
  <si>
    <t>Student ID:</t>
  </si>
  <si>
    <t>1978-01</t>
  </si>
  <si>
    <t>1978-02</t>
  </si>
  <si>
    <t>1978-03</t>
  </si>
  <si>
    <t>1978-04</t>
  </si>
  <si>
    <t>1978-05</t>
  </si>
  <si>
    <t>1978-06</t>
  </si>
  <si>
    <t>1978-07</t>
  </si>
  <si>
    <t>1978-08</t>
  </si>
  <si>
    <t>1978-09</t>
  </si>
  <si>
    <t>1978-10</t>
  </si>
  <si>
    <t>1978-11</t>
  </si>
  <si>
    <t>1978-12</t>
  </si>
  <si>
    <t>1979-01</t>
  </si>
  <si>
    <t>1979-02</t>
  </si>
  <si>
    <t>1979-03</t>
  </si>
  <si>
    <t>1979-04</t>
  </si>
  <si>
    <t>1979-05</t>
  </si>
  <si>
    <t>1979-06</t>
  </si>
  <si>
    <t>1979-07</t>
  </si>
  <si>
    <t>1979-08</t>
  </si>
  <si>
    <t>1979-09</t>
  </si>
  <si>
    <t>1979-10</t>
  </si>
  <si>
    <t>1979-11</t>
  </si>
  <si>
    <t>1979-12</t>
  </si>
  <si>
    <t>1980-01</t>
  </si>
  <si>
    <t>1980-02</t>
  </si>
  <si>
    <t>1980-03</t>
  </si>
  <si>
    <t>1980-04</t>
  </si>
  <si>
    <t>1980-05</t>
  </si>
  <si>
    <t>1980-06</t>
  </si>
  <si>
    <t>1980-07</t>
  </si>
  <si>
    <t>1980-08</t>
  </si>
  <si>
    <t>1980-09</t>
  </si>
  <si>
    <t>1980-10</t>
  </si>
  <si>
    <t>1980-11</t>
  </si>
  <si>
    <t>1980-12</t>
  </si>
  <si>
    <t>1981-01</t>
  </si>
  <si>
    <t>1981-02</t>
  </si>
  <si>
    <t>1981-03</t>
  </si>
  <si>
    <t>1981-04</t>
  </si>
  <si>
    <t>1981-05</t>
  </si>
  <si>
    <t>1981-06</t>
  </si>
  <si>
    <t>1981-07</t>
  </si>
  <si>
    <t>1981-08</t>
  </si>
  <si>
    <t>1981-09</t>
  </si>
  <si>
    <t>1981-10</t>
  </si>
  <si>
    <t>1981-11</t>
  </si>
  <si>
    <t>1981-12</t>
  </si>
  <si>
    <t>1982-01</t>
  </si>
  <si>
    <t>1982-02</t>
  </si>
  <si>
    <t>1982-03</t>
  </si>
  <si>
    <t>1982-04</t>
  </si>
  <si>
    <t>1982-05</t>
  </si>
  <si>
    <t>1982-06</t>
  </si>
  <si>
    <t>1982-07</t>
  </si>
  <si>
    <t>1982-08</t>
  </si>
  <si>
    <t>1982-09</t>
  </si>
  <si>
    <t>1982-10</t>
  </si>
  <si>
    <t>1982-11</t>
  </si>
  <si>
    <t>1982-12</t>
  </si>
  <si>
    <t>1983-01</t>
  </si>
  <si>
    <t>1983-02</t>
  </si>
  <si>
    <t>1983-03</t>
  </si>
  <si>
    <t>1983-04</t>
  </si>
  <si>
    <t>1983-05</t>
  </si>
  <si>
    <t>1983-06</t>
  </si>
  <si>
    <t>1983-07</t>
  </si>
  <si>
    <t>1983-08</t>
  </si>
  <si>
    <t>1983-09</t>
  </si>
  <si>
    <t>1983-10</t>
  </si>
  <si>
    <t>1983-11</t>
  </si>
  <si>
    <t>1983-12</t>
  </si>
  <si>
    <t>1984-01</t>
  </si>
  <si>
    <t>1984-02</t>
  </si>
  <si>
    <t>1984-03</t>
  </si>
  <si>
    <t>1984-04</t>
  </si>
  <si>
    <t>1984-05</t>
  </si>
  <si>
    <t>1984-06</t>
  </si>
  <si>
    <t>1984-07</t>
  </si>
  <si>
    <t>1984-08</t>
  </si>
  <si>
    <t>1984-09</t>
  </si>
  <si>
    <t>1984-10</t>
  </si>
  <si>
    <t>1984-11</t>
  </si>
  <si>
    <t>1984-12</t>
  </si>
  <si>
    <t>1985-01</t>
  </si>
  <si>
    <t>1985-02</t>
  </si>
  <si>
    <t>1985-03</t>
  </si>
  <si>
    <t>1985-04</t>
  </si>
  <si>
    <t>1985-05</t>
  </si>
  <si>
    <t>1985-06</t>
  </si>
  <si>
    <t>1985-07</t>
  </si>
  <si>
    <t>1985-08</t>
  </si>
  <si>
    <t>1985-09</t>
  </si>
  <si>
    <t>1985-10</t>
  </si>
  <si>
    <t>1985-11</t>
  </si>
  <si>
    <t>1985-12</t>
  </si>
  <si>
    <t>1986-01</t>
  </si>
  <si>
    <t>1986-02</t>
  </si>
  <si>
    <t>1986-03</t>
  </si>
  <si>
    <t>1986-04</t>
  </si>
  <si>
    <t>1986-05</t>
  </si>
  <si>
    <t>1986-06</t>
  </si>
  <si>
    <t>1986-07</t>
  </si>
  <si>
    <t>1986-08</t>
  </si>
  <si>
    <t>1986-09</t>
  </si>
  <si>
    <t>1986-10</t>
  </si>
  <si>
    <t>1986-11</t>
  </si>
  <si>
    <t>1986-12</t>
  </si>
  <si>
    <t>1987-01</t>
  </si>
  <si>
    <t>1987-02</t>
  </si>
  <si>
    <t>1987-03</t>
  </si>
  <si>
    <t>1987-04</t>
  </si>
  <si>
    <t>1987-05</t>
  </si>
  <si>
    <t>1987-06</t>
  </si>
  <si>
    <t>1987-07</t>
  </si>
  <si>
    <t>1987-08</t>
  </si>
  <si>
    <t>1987-09</t>
  </si>
  <si>
    <t>1987-10</t>
  </si>
  <si>
    <t>1987-11</t>
  </si>
  <si>
    <t>1987-12</t>
  </si>
  <si>
    <t>1988-01</t>
  </si>
  <si>
    <t>1988-02</t>
  </si>
  <si>
    <t>1988-03</t>
  </si>
  <si>
    <t>1988-04</t>
  </si>
  <si>
    <t>1988-05</t>
  </si>
  <si>
    <t>1988-06</t>
  </si>
  <si>
    <t>1988-07</t>
  </si>
  <si>
    <t>1988-08</t>
  </si>
  <si>
    <t>1988-09</t>
  </si>
  <si>
    <t>1988-10</t>
  </si>
  <si>
    <t>1988-11</t>
  </si>
  <si>
    <t>1988-12</t>
  </si>
  <si>
    <t>1989-01</t>
  </si>
  <si>
    <t>1989-02</t>
  </si>
  <si>
    <t>1989-03</t>
  </si>
  <si>
    <t>1989-04</t>
  </si>
  <si>
    <t>1989-05</t>
  </si>
  <si>
    <t>1989-06</t>
  </si>
  <si>
    <t>1989-07</t>
  </si>
  <si>
    <t>1989-08</t>
  </si>
  <si>
    <t>1989-09</t>
  </si>
  <si>
    <t>1989-10</t>
  </si>
  <si>
    <t>1989-11</t>
  </si>
  <si>
    <t>1989-12</t>
  </si>
  <si>
    <t>1990-01</t>
  </si>
  <si>
    <t>1990-02</t>
  </si>
  <si>
    <t>1990-03</t>
  </si>
  <si>
    <t>1990-04</t>
  </si>
  <si>
    <t>1990-05</t>
  </si>
  <si>
    <t>1990-06</t>
  </si>
  <si>
    <t>1990-07</t>
  </si>
  <si>
    <t>1990-08</t>
  </si>
  <si>
    <t>1990-09</t>
  </si>
  <si>
    <t>1990-10</t>
  </si>
  <si>
    <t>1990-11</t>
  </si>
  <si>
    <t>1990-12</t>
  </si>
  <si>
    <t>1991-01</t>
  </si>
  <si>
    <t>1991-02</t>
  </si>
  <si>
    <t>1991-03</t>
  </si>
  <si>
    <t>1991-04</t>
  </si>
  <si>
    <t>1991-05</t>
  </si>
  <si>
    <t>1991-06</t>
  </si>
  <si>
    <t>1991-07</t>
  </si>
  <si>
    <t>1991-08</t>
  </si>
  <si>
    <t>1991-09</t>
  </si>
  <si>
    <t>1991-10</t>
  </si>
  <si>
    <t>1991-11</t>
  </si>
  <si>
    <t>1991-12</t>
  </si>
  <si>
    <t>1992-01</t>
  </si>
  <si>
    <t>1992-02</t>
  </si>
  <si>
    <t>1992-03</t>
  </si>
  <si>
    <t>1992-04</t>
  </si>
  <si>
    <t>1992-05</t>
  </si>
  <si>
    <t>1992-06</t>
  </si>
  <si>
    <t>1992-07</t>
  </si>
  <si>
    <t>1992-08</t>
  </si>
  <si>
    <t>1992-09</t>
  </si>
  <si>
    <t>1992-10</t>
  </si>
  <si>
    <t>1992-11</t>
  </si>
  <si>
    <t>1992-12</t>
  </si>
  <si>
    <t>1993-01</t>
  </si>
  <si>
    <t>1993-02</t>
  </si>
  <si>
    <t>1993-03</t>
  </si>
  <si>
    <t>1993-04</t>
  </si>
  <si>
    <t>1993-05</t>
  </si>
  <si>
    <t>1993-06</t>
  </si>
  <si>
    <t>1993-07</t>
  </si>
  <si>
    <t>1993-08</t>
  </si>
  <si>
    <t>1993-09</t>
  </si>
  <si>
    <t>1993-10</t>
  </si>
  <si>
    <t>1993-11</t>
  </si>
  <si>
    <t>1993-12</t>
  </si>
  <si>
    <t>1994-01</t>
  </si>
  <si>
    <t>1994-02</t>
  </si>
  <si>
    <t>1994-03</t>
  </si>
  <si>
    <t>1994-04</t>
  </si>
  <si>
    <t>1994-05</t>
  </si>
  <si>
    <t>1994-06</t>
  </si>
  <si>
    <t>1994-07</t>
  </si>
  <si>
    <t>1994-08</t>
  </si>
  <si>
    <t>1994-09</t>
  </si>
  <si>
    <t>1994-10</t>
  </si>
  <si>
    <t>1994-11</t>
  </si>
  <si>
    <t>1994-12</t>
  </si>
  <si>
    <t>1995-01</t>
  </si>
  <si>
    <t>1995-02</t>
  </si>
  <si>
    <t>1995-03</t>
  </si>
  <si>
    <t>1995-04</t>
  </si>
  <si>
    <t>1995-05</t>
  </si>
  <si>
    <t>1995-06</t>
  </si>
  <si>
    <t>1995-07</t>
  </si>
  <si>
    <t>1995-08</t>
  </si>
  <si>
    <t>1995-09</t>
  </si>
  <si>
    <t>1995-10</t>
  </si>
  <si>
    <t>1995-11</t>
  </si>
  <si>
    <t>1995-12</t>
  </si>
  <si>
    <t>1996-01</t>
  </si>
  <si>
    <t>1996-02</t>
  </si>
  <si>
    <t>1996-03</t>
  </si>
  <si>
    <t>1996-04</t>
  </si>
  <si>
    <t>1996-05</t>
  </si>
  <si>
    <t>1996-06</t>
  </si>
  <si>
    <t>1996-07</t>
  </si>
  <si>
    <t>1996-08</t>
  </si>
  <si>
    <t>1996-09</t>
  </si>
  <si>
    <t>1996-10</t>
  </si>
  <si>
    <t>1996-11</t>
  </si>
  <si>
    <t>1996-12</t>
  </si>
  <si>
    <t>1997-01</t>
  </si>
  <si>
    <t>1997-02</t>
  </si>
  <si>
    <t>1997-03</t>
  </si>
  <si>
    <t>1997-04</t>
  </si>
  <si>
    <t>1997-05</t>
  </si>
  <si>
    <t>1997-06</t>
  </si>
  <si>
    <t>1997-07</t>
  </si>
  <si>
    <t>1997-08</t>
  </si>
  <si>
    <t>1997-09</t>
  </si>
  <si>
    <t>1997-10</t>
  </si>
  <si>
    <t>1997-11</t>
  </si>
  <si>
    <t>1997-12</t>
  </si>
  <si>
    <t>1998-01</t>
  </si>
  <si>
    <t>1998-02</t>
  </si>
  <si>
    <t>1998-03</t>
  </si>
  <si>
    <t>1998-04</t>
  </si>
  <si>
    <t>1998-05</t>
  </si>
  <si>
    <t>1998-06</t>
  </si>
  <si>
    <t>1998-07</t>
  </si>
  <si>
    <t>1998-08</t>
  </si>
  <si>
    <t>1998-09</t>
  </si>
  <si>
    <t>1998-10</t>
  </si>
  <si>
    <t>1998-11</t>
  </si>
  <si>
    <t>1998-12</t>
  </si>
  <si>
    <t>1999-01</t>
  </si>
  <si>
    <t>1999-02</t>
  </si>
  <si>
    <t>1999-03</t>
  </si>
  <si>
    <t>1999-04</t>
  </si>
  <si>
    <t>1999-05</t>
  </si>
  <si>
    <t>1999-06</t>
  </si>
  <si>
    <t>1999-07</t>
  </si>
  <si>
    <t>1999-08</t>
  </si>
  <si>
    <t>1999-09</t>
  </si>
  <si>
    <t>1999-10</t>
  </si>
  <si>
    <t>1999-11</t>
  </si>
  <si>
    <t>1999-12</t>
  </si>
  <si>
    <t>2000-01</t>
  </si>
  <si>
    <t>2000-02</t>
  </si>
  <si>
    <t>2000-03</t>
  </si>
  <si>
    <t>2000-04</t>
  </si>
  <si>
    <t>2000-05</t>
  </si>
  <si>
    <t>2000-06</t>
  </si>
  <si>
    <t>2000-07</t>
  </si>
  <si>
    <t>2000-08</t>
  </si>
  <si>
    <t>2000-09</t>
  </si>
  <si>
    <t>2000-10</t>
  </si>
  <si>
    <t>2000-11</t>
  </si>
  <si>
    <t>2000-12</t>
  </si>
  <si>
    <t>2001-01</t>
  </si>
  <si>
    <t>2001-02</t>
  </si>
  <si>
    <t>2001-03</t>
  </si>
  <si>
    <t>2001-04</t>
  </si>
  <si>
    <t>2001-05</t>
  </si>
  <si>
    <t>2001-06</t>
  </si>
  <si>
    <t>2001-07</t>
  </si>
  <si>
    <t>2001-08</t>
  </si>
  <si>
    <t>2001-09</t>
  </si>
  <si>
    <t>2001-10</t>
  </si>
  <si>
    <t>2001-11</t>
  </si>
  <si>
    <t>2001-12</t>
  </si>
  <si>
    <t>2002-01</t>
  </si>
  <si>
    <t>2002-02</t>
  </si>
  <si>
    <t>2002-03</t>
  </si>
  <si>
    <t>2002-04</t>
  </si>
  <si>
    <t>2002-05</t>
  </si>
  <si>
    <t>2002-06</t>
  </si>
  <si>
    <t>2002-07</t>
  </si>
  <si>
    <t>2002-08</t>
  </si>
  <si>
    <t>2002-09</t>
  </si>
  <si>
    <t>2002-10</t>
  </si>
  <si>
    <t>2002-11</t>
  </si>
  <si>
    <t>2002-12</t>
  </si>
  <si>
    <t>2003-01</t>
  </si>
  <si>
    <t>2003-02</t>
  </si>
  <si>
    <t>2003-03</t>
  </si>
  <si>
    <t>2003-04</t>
  </si>
  <si>
    <t>2003-05</t>
  </si>
  <si>
    <t>2003-06</t>
  </si>
  <si>
    <t>2003-07</t>
  </si>
  <si>
    <t>2003-08</t>
  </si>
  <si>
    <t>2003-09</t>
  </si>
  <si>
    <t>2003-10</t>
  </si>
  <si>
    <t>2003-11</t>
  </si>
  <si>
    <t>2003-12</t>
  </si>
  <si>
    <t>2004-01</t>
  </si>
  <si>
    <t>2004-02</t>
  </si>
  <si>
    <t>2004-03</t>
  </si>
  <si>
    <t>2004-04</t>
  </si>
  <si>
    <t>2004-05</t>
  </si>
  <si>
    <t>2004-06</t>
  </si>
  <si>
    <t>2004-07</t>
  </si>
  <si>
    <t>2004-08</t>
  </si>
  <si>
    <t>2004-09</t>
  </si>
  <si>
    <t>2004-10</t>
  </si>
  <si>
    <t>2004-11</t>
  </si>
  <si>
    <t>2004-12</t>
  </si>
  <si>
    <t>2005-01</t>
  </si>
  <si>
    <t>2005-02</t>
  </si>
  <si>
    <t>2005-03</t>
  </si>
  <si>
    <t>2005-04</t>
  </si>
  <si>
    <t>2005-05</t>
  </si>
  <si>
    <t>2005-06</t>
  </si>
  <si>
    <t>2005-07</t>
  </si>
  <si>
    <t>2005-08</t>
  </si>
  <si>
    <t>2005-09</t>
  </si>
  <si>
    <t>2005-10</t>
  </si>
  <si>
    <t>2005-11</t>
  </si>
  <si>
    <t>2005-12</t>
  </si>
  <si>
    <t>2006-01</t>
  </si>
  <si>
    <t>2006-02</t>
  </si>
  <si>
    <t>2006-03</t>
  </si>
  <si>
    <t>2006-04</t>
  </si>
  <si>
    <t>2006-05</t>
  </si>
  <si>
    <t>2006-06</t>
  </si>
  <si>
    <t>2006-07</t>
  </si>
  <si>
    <t>2006-08</t>
  </si>
  <si>
    <t>2006-09</t>
  </si>
  <si>
    <t>2006-10</t>
  </si>
  <si>
    <t>2006-11</t>
  </si>
  <si>
    <t>2006-12</t>
  </si>
  <si>
    <t>2007-01</t>
  </si>
  <si>
    <t>2007-02</t>
  </si>
  <si>
    <t>2007-03</t>
  </si>
  <si>
    <t>2007-04</t>
  </si>
  <si>
    <t>2007-05</t>
  </si>
  <si>
    <t>2007-06</t>
  </si>
  <si>
    <t>2007-07</t>
  </si>
  <si>
    <t>2007-08</t>
  </si>
  <si>
    <t>2007-09</t>
  </si>
  <si>
    <t>2007-10</t>
  </si>
  <si>
    <t>2007-11</t>
  </si>
  <si>
    <t>2007-12</t>
  </si>
  <si>
    <t>2008-01</t>
  </si>
  <si>
    <t>2008-02</t>
  </si>
  <si>
    <t>2008-03</t>
  </si>
  <si>
    <t>2008-04</t>
  </si>
  <si>
    <t>2008-05</t>
  </si>
  <si>
    <t>2008-06</t>
  </si>
  <si>
    <t>2008-07</t>
  </si>
  <si>
    <t>2008-08</t>
  </si>
  <si>
    <t>2008-09</t>
  </si>
  <si>
    <t>2008-10</t>
  </si>
  <si>
    <t>2008-11</t>
  </si>
  <si>
    <t>2008-12</t>
  </si>
  <si>
    <t>2009-01</t>
  </si>
  <si>
    <t>2009-02</t>
  </si>
  <si>
    <t>2009-03</t>
  </si>
  <si>
    <t>2009-04</t>
  </si>
  <si>
    <t>2009-05</t>
  </si>
  <si>
    <t>2009-06</t>
  </si>
  <si>
    <t>2009-07</t>
  </si>
  <si>
    <t>2009-08</t>
  </si>
  <si>
    <t>2009-09</t>
  </si>
  <si>
    <t>2009-10</t>
  </si>
  <si>
    <t>2009-11</t>
  </si>
  <si>
    <t>2009-12</t>
  </si>
  <si>
    <t>2010-01</t>
  </si>
  <si>
    <t>2010-02</t>
  </si>
  <si>
    <t>2010-03</t>
  </si>
  <si>
    <t>2010-04</t>
  </si>
  <si>
    <t>2010-05</t>
  </si>
  <si>
    <t>2010-06</t>
  </si>
  <si>
    <t>2010-07</t>
  </si>
  <si>
    <t>2010-08</t>
  </si>
  <si>
    <t>2010-09</t>
  </si>
  <si>
    <t>2010-10</t>
  </si>
  <si>
    <t>2010-11</t>
  </si>
  <si>
    <t>2010-12</t>
  </si>
  <si>
    <t>2011-01</t>
  </si>
  <si>
    <t>2011-02</t>
  </si>
  <si>
    <t>2011-03</t>
  </si>
  <si>
    <t>2011-04</t>
  </si>
  <si>
    <t>2011-05</t>
  </si>
  <si>
    <t>2011-06</t>
  </si>
  <si>
    <t>2011-07</t>
  </si>
  <si>
    <t>2011-08</t>
  </si>
  <si>
    <t>2011-09</t>
  </si>
  <si>
    <t>2011-10</t>
  </si>
  <si>
    <t>2011-11</t>
  </si>
  <si>
    <t>2011-12</t>
  </si>
  <si>
    <t>2012-01</t>
  </si>
  <si>
    <t>2012-02</t>
  </si>
  <si>
    <t>2012-03</t>
  </si>
  <si>
    <t>2012-04</t>
  </si>
  <si>
    <t>2012-05</t>
  </si>
  <si>
    <t>2012-06</t>
  </si>
  <si>
    <t>2012-07</t>
  </si>
  <si>
    <t>2012-08</t>
  </si>
  <si>
    <t>2012-09</t>
  </si>
  <si>
    <t>2012-10</t>
  </si>
  <si>
    <t>2012-11</t>
  </si>
  <si>
    <t>2012-12</t>
  </si>
  <si>
    <t>2013-01</t>
  </si>
  <si>
    <t>2013-02</t>
  </si>
  <si>
    <t>2013-03</t>
  </si>
  <si>
    <t>2013-04</t>
  </si>
  <si>
    <t>2013-05</t>
  </si>
  <si>
    <t>2013-06</t>
  </si>
  <si>
    <t>2013-07</t>
  </si>
  <si>
    <t>2013-08</t>
  </si>
  <si>
    <t>2013-09</t>
  </si>
  <si>
    <t>2013-10</t>
  </si>
  <si>
    <t>2013-11</t>
  </si>
  <si>
    <t>2013-12</t>
  </si>
  <si>
    <t>2014-01</t>
  </si>
  <si>
    <t>2014-02</t>
  </si>
  <si>
    <t>2014-03</t>
  </si>
  <si>
    <t>2014-04</t>
  </si>
  <si>
    <t>2014-05</t>
  </si>
  <si>
    <t>2014-06</t>
  </si>
  <si>
    <t>2014-07</t>
  </si>
  <si>
    <t>2014-08</t>
  </si>
  <si>
    <t>2014-09</t>
  </si>
  <si>
    <t>2014-10</t>
  </si>
  <si>
    <t>2014-11</t>
  </si>
  <si>
    <t>2014-12</t>
  </si>
  <si>
    <t>2015-01</t>
  </si>
  <si>
    <t>2015-02</t>
  </si>
  <si>
    <t>2015-03</t>
  </si>
  <si>
    <t>2015-04</t>
  </si>
  <si>
    <t>2015-05</t>
  </si>
  <si>
    <t>2015-06</t>
  </si>
  <si>
    <t>2015-07</t>
  </si>
  <si>
    <t>2015-08</t>
  </si>
  <si>
    <t>2015-09</t>
  </si>
  <si>
    <t>2015-10</t>
  </si>
  <si>
    <t>2015-11</t>
  </si>
  <si>
    <t>Month</t>
  </si>
  <si>
    <t>Total International Visitor Arrivals</t>
  </si>
  <si>
    <t>Data source: https://data.gov.sg/dataset/tanker-arrivals-75-gt-annual</t>
  </si>
  <si>
    <t>Data source: https://data.gov.sg/dataset/total-visitor-international-arrivals-to-singapore</t>
  </si>
  <si>
    <t>Oil Tankers</t>
  </si>
  <si>
    <t>Chemical Tankers</t>
  </si>
  <si>
    <t>LNG &amp; LPG Tankers</t>
  </si>
  <si>
    <t>Category</t>
  </si>
  <si>
    <t>Number of tankers</t>
  </si>
  <si>
    <t>Gross tonage</t>
  </si>
  <si>
    <t>Average:</t>
  </si>
  <si>
    <t>Message:</t>
  </si>
  <si>
    <t>salesperson_name</t>
  </si>
  <si>
    <t>registration_no</t>
  </si>
  <si>
    <t>registration_start_date</t>
  </si>
  <si>
    <t>registration_end_date</t>
  </si>
  <si>
    <t>estate_agent_name</t>
  </si>
  <si>
    <t>estate_agent_license_no</t>
  </si>
  <si>
    <t>WANG SOON YEE, LARRY</t>
  </si>
  <si>
    <t>P015022G</t>
  </si>
  <si>
    <t>MCDOWELL REALTY NETWORK</t>
  </si>
  <si>
    <t>L3006213G</t>
  </si>
  <si>
    <t>MOHAMED RAHIMATULLAH S/O S M IBRAHIM (MOHD)</t>
  </si>
  <si>
    <t>R015018I</t>
  </si>
  <si>
    <t>SALBIAH BINTE RAMLI (SALBIAH)</t>
  </si>
  <si>
    <t>R015021I</t>
  </si>
  <si>
    <t>LEE YAT SENG (STEVEN)</t>
  </si>
  <si>
    <t>R015024C</t>
  </si>
  <si>
    <t>Dear Mr:</t>
  </si>
  <si>
    <t>[Insert name here]</t>
  </si>
  <si>
    <t>Registration number:</t>
  </si>
  <si>
    <t>Estate agent name:</t>
  </si>
  <si>
    <t>License number:</t>
  </si>
  <si>
    <t>[Insert here]</t>
  </si>
  <si>
    <t>Data source: https://data.gov.sg/dataset/cea-salesperson-info</t>
  </si>
  <si>
    <t>Assumptions</t>
  </si>
  <si>
    <t>Project discount rate</t>
  </si>
  <si>
    <r>
      <t>Valuation model</t>
    </r>
    <r>
      <rPr>
        <sz val="12"/>
        <color theme="1"/>
        <rFont val="Calibri (Body)"/>
      </rPr>
      <t xml:space="preserve"> </t>
    </r>
  </si>
  <si>
    <t xml:space="preserve">   (million SGD)</t>
  </si>
  <si>
    <t>Costs</t>
  </si>
  <si>
    <t>Revenue</t>
  </si>
  <si>
    <t>Net profit</t>
  </si>
  <si>
    <t>Valuation:</t>
  </si>
  <si>
    <t>(Manual)</t>
  </si>
  <si>
    <t>Assumption 1</t>
  </si>
  <si>
    <t>Valuation</t>
  </si>
  <si>
    <t>(Automatic)</t>
  </si>
  <si>
    <t>Assumption 2</t>
  </si>
  <si>
    <t>THREE SCENARIO ANALYSES</t>
  </si>
  <si>
    <t>Assumption 3</t>
  </si>
  <si>
    <t xml:space="preserve">   F&amp;B</t>
  </si>
  <si>
    <t xml:space="preserve">   Conference organisation</t>
  </si>
  <si>
    <t xml:space="preserve">   Spa &amp; wellness services</t>
  </si>
  <si>
    <t xml:space="preserve">   Electricity consumption</t>
  </si>
  <si>
    <t xml:space="preserve">   Water &amp; other utilities</t>
  </si>
  <si>
    <t xml:space="preserve">   Wages &amp; salaries</t>
  </si>
  <si>
    <t xml:space="preserve">   External contractors</t>
  </si>
  <si>
    <t xml:space="preserve">   Redevelopment expenses</t>
  </si>
  <si>
    <t>Singapore inflation rate</t>
  </si>
  <si>
    <t>Daily room booking rate</t>
  </si>
  <si>
    <t>Construction cost growth rate</t>
  </si>
  <si>
    <t xml:space="preserve">   Room bookings (local)</t>
  </si>
  <si>
    <t xml:space="preserve">   Room bookings (international)</t>
  </si>
  <si>
    <t>Growth of international arrivals</t>
  </si>
  <si>
    <t>Conference room fees (per day)</t>
  </si>
  <si>
    <t>Ballroom fees (per day)</t>
  </si>
  <si>
    <t xml:space="preserve">   Ballroom events</t>
  </si>
  <si>
    <t>BONUS</t>
  </si>
  <si>
    <t>Goh Kheng Xi, Jevan</t>
  </si>
  <si>
    <t xml:space="preserve"> A0199806L</t>
  </si>
  <si>
    <t>Dear Sir/Madam,_x000D_
_x000D_
Please note that our hotel group is planning a major renovation. We appreciate your further guidance. Please feel free to contact us at any time._x000D_
_x000D_
Best regards._x000D_
The Management</t>
  </si>
  <si>
    <t xml:space="preserve">low low low low low low low low high low low low low high low low low high low low high low low low high low high high low high low low high high low high low low low low high low low low low low low high low low low low low high low high high low high high high high low high low low high low low low low low high high high high low high high high low low low low low low high low low high high high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</si>
</sst>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quot;$&quot;* #,##0.00_);_(&quot;$&quot;* \(#,##0.00\);_(&quot;$&quot;* &quot;-&quot;??_);_(@_)"/>
    <numFmt numFmtId="165" formatCode="&quot;$&quot;#,##0.00"/>
    <numFmt numFmtId="166" formatCode="0.0000"/>
    <numFmt numFmtId="167" formatCode="0.000000"/>
    <numFmt numFmtId="168" formatCode="[$-F400]h:mm:ss\ AM/PM"/>
    <numFmt numFmtId="169" formatCode="&quot;$&quot;#,##0.000000"/>
    <numFmt numFmtId="170" formatCode="0.0%"/>
    <numFmt numFmtId="171" formatCode="&quot;$&quot;#,##0.00_);[Red]\-&quot;$&quot;#,##0.00"/>
    <numFmt numFmtId="172" formatCode="&quot;$&quot;#,##0"/>
    <numFmt numFmtId="173" formatCode="#,###.00"/>
    <numFmt numFmtId="174" formatCode="#,###"/>
    <numFmt numFmtId="175" formatCode="#0.0%"/>
    <numFmt numFmtId="176" formatCode="&quot;$&quot;#0.00"/>
    <numFmt numFmtId="177" formatCode="&quot;$&quot;#,###"/>
  </numFmts>
  <fonts count="27">
    <font>
      <sz val="12"/>
      <color theme="1"/>
      <name val="Calibri"/>
      <family val="2"/>
      <scheme val="minor"/>
    </font>
    <font>
      <b/>
      <sz val="12"/>
      <color theme="1"/>
      <name val="Calibri"/>
      <family val="2"/>
      <scheme val="minor"/>
    </font>
    <font>
      <sz val="12"/>
      <color rgb="FF000000"/>
      <name val="Calibri"/>
      <family val="2"/>
      <scheme val="minor"/>
    </font>
    <font>
      <b/>
      <i/>
      <sz val="17"/>
      <color theme="1"/>
      <name val="Calibri"/>
      <family val="2"/>
      <scheme val="minor"/>
    </font>
    <font>
      <b/>
      <sz val="12"/>
      <color rgb="FFC00000"/>
      <name val="Calibri"/>
      <family val="2"/>
      <scheme val="minor"/>
    </font>
    <font>
      <sz val="26"/>
      <color theme="1"/>
      <name val="Calibri"/>
      <family val="2"/>
      <scheme val="minor"/>
    </font>
    <font>
      <sz val="12"/>
      <color rgb="FFFF0000"/>
      <name val="Calibri"/>
      <family val="2"/>
      <scheme val="minor"/>
    </font>
    <font>
      <sz val="10"/>
      <color theme="1"/>
      <name val="Calibri"/>
      <family val="2"/>
      <scheme val="minor"/>
    </font>
    <font>
      <sz val="36"/>
      <color theme="1"/>
      <name val="Calibri"/>
      <family val="2"/>
      <scheme val="minor"/>
    </font>
    <font>
      <i/>
      <u/>
      <sz val="26"/>
      <color theme="1"/>
      <name val="Calibri"/>
      <family val="2"/>
      <scheme val="minor"/>
    </font>
    <font>
      <b/>
      <sz val="30"/>
      <color rgb="FF000000"/>
      <name val="Calibri"/>
      <family val="2"/>
      <scheme val="minor"/>
    </font>
    <font>
      <b/>
      <sz val="30"/>
      <color theme="1"/>
      <name val="Calibri"/>
      <family val="2"/>
      <scheme val="minor"/>
    </font>
    <font>
      <b/>
      <u/>
      <sz val="12"/>
      <color theme="1"/>
      <name val="Calibri"/>
      <family val="2"/>
      <scheme val="minor"/>
    </font>
    <font>
      <sz val="12"/>
      <color theme="1"/>
      <name val="Calibri (Body)"/>
    </font>
    <font>
      <sz val="10"/>
      <color theme="1"/>
      <name val="Calibri (Body)"/>
    </font>
    <font>
      <i/>
      <sz val="12"/>
      <color theme="1"/>
      <name val="Calibri"/>
      <family val="2"/>
      <scheme val="minor"/>
    </font>
    <font>
      <b/>
      <sz val="14"/>
      <color theme="1"/>
      <name val="Calibri"/>
      <family val="2"/>
      <scheme val="minor"/>
    </font>
    <font>
      <b/>
      <sz val="12"/>
      <color rgb="FFFF0000"/>
      <name val="Calibri"/>
      <family val="2"/>
      <scheme val="minor"/>
    </font>
    <font>
      <sz val="12"/>
      <color rgb="FFC00000"/>
      <name val="Calibri"/>
      <family val="2"/>
      <scheme val="minor"/>
    </font>
    <font>
      <b/>
      <sz val="12"/>
      <color rgb="FF000000"/>
      <name val="Calibri"/>
      <family val="2"/>
      <scheme val="minor"/>
    </font>
    <font>
      <b/>
      <sz val="12"/>
      <color theme="8"/>
      <name val="Calibri"/>
      <family val="2"/>
      <scheme val="minor"/>
    </font>
    <font>
      <b/>
      <sz val="12"/>
      <color rgb="FF548235"/>
      <name val="Calibri"/>
      <family val="2"/>
      <scheme val="minor"/>
    </font>
    <font>
      <i/>
      <sz val="12"/>
      <color rgb="FFFF0000"/>
      <name val="Calibri"/>
      <family val="2"/>
      <scheme val="minor"/>
    </font>
    <font>
      <sz val="12"/>
      <color rgb="FF000000"/>
      <name val="Calibri"/>
      <family val="2"/>
    </font>
    <font>
      <b/>
      <sz val="24"/>
      <color rgb="FFFF0000"/>
      <name val="Calibri"/>
      <family val="2"/>
    </font>
    <font>
      <b/>
      <sz val="12"/>
      <name val="Calibri"/>
      <family val="2"/>
      <scheme val="minor"/>
    </font>
    <font>
      <b/>
      <sz val="12"/>
      <color rgb="FF5B9BD5"/>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0" tint="-0.14996795556505021"/>
        <bgColor indexed="64"/>
      </patternFill>
    </fill>
    <fill>
      <patternFill patternType="solid">
        <fgColor rgb="FFD9D9D9"/>
        <bgColor rgb="FF000000"/>
      </patternFill>
    </fill>
    <fill>
      <patternFill patternType="solid">
        <fgColor rgb="FFF2F2F2"/>
        <bgColor rgb="FF000000"/>
      </patternFill>
    </fill>
    <fill>
      <patternFill patternType="solid">
        <fgColor rgb="FF00FF00"/>
        <bgColor indexed="64"/>
      </patternFill>
    </fill>
    <fill>
      <patternFill patternType="solid">
        <fgColor rgb="FFFF0000"/>
        <bgColor indexed="64"/>
      </patternFill>
    </fill>
    <fill>
      <patternFill patternType="solid">
        <fgColor rgb="FF0000FF"/>
        <bgColor indexed="64"/>
      </patternFill>
    </fill>
  </fills>
  <borders count="5">
    <border>
      <left/>
      <right/>
      <top/>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s>
  <cellStyleXfs count="1">
    <xf numFmtId="0" fontId="0" fillId="0" borderId="0"/>
  </cellStyleXfs>
  <cellXfs count="65">
    <xf numFmtId="0" fontId="0" fillId="0" borderId="0" xfId="0"/>
    <xf numFmtId="0" fontId="0" fillId="0" borderId="0" xfId="0" applyAlignment="1">
      <alignment horizontal="center"/>
    </xf>
    <xf numFmtId="165" fontId="0" fillId="0" borderId="0" xfId="0" applyNumberFormat="1"/>
    <xf numFmtId="0" fontId="1" fillId="2" borderId="0" xfId="0" applyFont="1" applyFill="1"/>
    <xf numFmtId="0" fontId="0" fillId="2" borderId="0" xfId="0" applyFill="1"/>
    <xf numFmtId="0" fontId="3" fillId="2" borderId="0" xfId="0" applyFont="1" applyFill="1"/>
    <xf numFmtId="0" fontId="4" fillId="2" borderId="0" xfId="0" applyFont="1" applyFill="1"/>
    <xf numFmtId="164" fontId="0" fillId="0" borderId="0" xfId="0" applyNumberFormat="1"/>
    <xf numFmtId="14" fontId="0" fillId="0" borderId="0" xfId="0" applyNumberFormat="1"/>
    <xf numFmtId="0" fontId="12" fillId="0" borderId="0" xfId="0" applyFont="1"/>
    <xf numFmtId="170" fontId="0" fillId="0" borderId="0" xfId="0" applyNumberFormat="1" applyAlignment="1">
      <alignment horizontal="center"/>
    </xf>
    <xf numFmtId="9" fontId="0" fillId="0" borderId="0" xfId="0" applyNumberFormat="1" applyAlignment="1">
      <alignment horizontal="center"/>
    </xf>
    <xf numFmtId="0" fontId="0" fillId="0" borderId="0" xfId="0" applyAlignment="1">
      <alignment horizontal="center" vertical="center"/>
    </xf>
    <xf numFmtId="0" fontId="14" fillId="0" borderId="0" xfId="0" applyFont="1"/>
    <xf numFmtId="0" fontId="15" fillId="0" borderId="0" xfId="0" applyFont="1"/>
    <xf numFmtId="171" fontId="0" fillId="0" borderId="0" xfId="0" applyNumberFormat="1"/>
    <xf numFmtId="0" fontId="0" fillId="0" borderId="3" xfId="0" applyBorder="1" applyAlignment="1">
      <alignment horizontal="center" vertical="center"/>
    </xf>
    <xf numFmtId="0" fontId="14" fillId="0" borderId="0" xfId="0" applyFont="1" applyAlignment="1">
      <alignment horizontal="center" vertical="center"/>
    </xf>
    <xf numFmtId="171" fontId="16" fillId="5" borderId="3" xfId="0" applyNumberFormat="1" applyFont="1" applyFill="1" applyBorder="1" applyAlignment="1">
      <alignment horizontal="center" vertical="center"/>
    </xf>
    <xf numFmtId="0" fontId="18" fillId="0" borderId="0" xfId="0" applyFont="1"/>
    <xf numFmtId="0" fontId="1" fillId="0" borderId="0" xfId="0" applyFont="1"/>
    <xf numFmtId="0" fontId="2" fillId="6" borderId="4" xfId="0" applyFont="1" applyFill="1" applyBorder="1" applyAlignment="1">
      <alignment horizontal="left" vertical="center"/>
    </xf>
    <xf numFmtId="170" fontId="17" fillId="7" borderId="4" xfId="0" applyNumberFormat="1" applyFont="1" applyFill="1" applyBorder="1" applyAlignment="1">
      <alignment horizontal="center"/>
    </xf>
    <xf numFmtId="0" fontId="19" fillId="6" borderId="4" xfId="0" applyFont="1" applyFill="1" applyBorder="1" applyAlignment="1">
      <alignment horizontal="left" vertical="center"/>
    </xf>
    <xf numFmtId="170" fontId="20" fillId="7" borderId="4" xfId="0" applyNumberFormat="1" applyFont="1" applyFill="1" applyBorder="1" applyAlignment="1">
      <alignment horizontal="center"/>
    </xf>
    <xf numFmtId="170" fontId="21" fillId="7" borderId="4" xfId="0" applyNumberFormat="1" applyFont="1" applyFill="1" applyBorder="1" applyAlignment="1">
      <alignment horizontal="center" vertical="center"/>
    </xf>
    <xf numFmtId="0" fontId="22" fillId="0" borderId="0" xfId="0" applyFont="1" applyAlignment="1">
      <alignment horizontal="center"/>
    </xf>
    <xf numFmtId="172" fontId="0" fillId="0" borderId="0" xfId="0" applyNumberFormat="1" applyAlignment="1">
      <alignment horizontal="center"/>
    </xf>
    <xf numFmtId="173" fontId="0" fillId="0" borderId="0" xfId="0" applyNumberFormat="1" applyAlignment="1">
      <alignment horizontal="left"/>
    </xf>
    <xf numFmtId="174" fontId="0" fillId="0" borderId="0" xfId="0" applyNumberFormat="1" applyAlignment="1">
      <alignment horizontal="left"/>
    </xf>
    <xf numFmtId="0" fontId="2" fillId="0" borderId="0" xfId="0" applyFont="1"/>
    <xf numFmtId="0" fontId="0" fillId="0" borderId="0" xfId="0" applyAlignment="1">
      <alignment horizontal="left"/>
    </xf>
    <xf numFmtId="166" fontId="0" fillId="0" borderId="0" xfId="0" applyNumberFormat="1"/>
    <xf numFmtId="2" fontId="0" fillId="0" borderId="0" xfId="0" applyNumberFormat="1"/>
    <xf numFmtId="167" fontId="0" fillId="0" borderId="0" xfId="0" applyNumberFormat="1"/>
    <xf numFmtId="168" fontId="0" fillId="0" borderId="0" xfId="0" applyNumberFormat="1"/>
    <xf numFmtId="10" fontId="0" fillId="0" borderId="0" xfId="0" applyNumberFormat="1"/>
    <xf numFmtId="169" fontId="0" fillId="0" borderId="0" xfId="0" applyNumberFormat="1"/>
    <xf numFmtId="11" fontId="0" fillId="0" borderId="0" xfId="0" applyNumberFormat="1"/>
    <xf numFmtId="0" fontId="0" fillId="0" borderId="1" xfId="0"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7" fillId="0" borderId="0" xfId="0" applyFont="1"/>
    <xf numFmtId="0" fontId="8" fillId="0" borderId="0" xfId="0" applyFont="1"/>
    <xf numFmtId="0" fontId="5" fillId="3" borderId="0" xfId="0" applyFont="1" applyFill="1"/>
    <xf numFmtId="0" fontId="6" fillId="3" borderId="0" xfId="0" applyFont="1" applyFill="1"/>
    <xf numFmtId="0" fontId="9" fillId="0" borderId="0" xfId="0" applyFont="1"/>
    <xf numFmtId="0" fontId="8" fillId="4" borderId="0" xfId="0" applyFont="1" applyFill="1"/>
    <xf numFmtId="0" fontId="10" fillId="0" borderId="0" xfId="0" applyFont="1"/>
    <xf numFmtId="0" fontId="11" fillId="0" borderId="0" xfId="0" applyFont="1"/>
    <xf numFmtId="0" fontId="0" fillId="0" borderId="0" xfId="0" applyAlignment="1">
      <alignment horizontal="center" vertical="center" wrapText="1"/>
    </xf>
    <xf numFmtId="0" fontId="0" fillId="8" borderId="0" xfId="0" applyFill="1" applyAlignment="1">
      <alignment horizontal="center"/>
    </xf>
    <xf numFmtId="0" fontId="0" fillId="9" borderId="0" xfId="0" applyFill="1" applyAlignment="1">
      <alignment horizontal="center"/>
    </xf>
    <xf numFmtId="174" fontId="0" fillId="0" borderId="0" xfId="0" applyNumberFormat="1"/>
    <xf numFmtId="173" fontId="0" fillId="0" borderId="0" xfId="0" applyNumberFormat="1"/>
    <xf numFmtId="0" fontId="25" fillId="2" borderId="0" xfId="0" applyFont="1" applyFill="1"/>
    <xf numFmtId="175" fontId="26" fillId="7" borderId="4" xfId="0" applyNumberFormat="1" applyFont="1" applyFill="1" applyBorder="1" applyAlignment="1">
      <alignment horizontal="center"/>
    </xf>
    <xf numFmtId="176" fontId="21" fillId="7" borderId="4" xfId="0" applyNumberFormat="1" applyFont="1" applyFill="1" applyBorder="1" applyAlignment="1">
      <alignment horizontal="center" vertical="center"/>
    </xf>
    <xf numFmtId="176" fontId="21" fillId="7" borderId="4" xfId="0" applyNumberFormat="1" applyFont="1" applyFill="1" applyBorder="1" applyAlignment="1">
      <alignment horizontal="center"/>
    </xf>
    <xf numFmtId="177" fontId="26" fillId="7" borderId="4" xfId="0" applyNumberFormat="1" applyFont="1" applyFill="1" applyBorder="1" applyAlignment="1">
      <alignment horizontal="center"/>
    </xf>
    <xf numFmtId="0" fontId="0" fillId="9" borderId="0" xfId="0" applyFill="1"/>
    <xf numFmtId="0" fontId="0" fillId="8" borderId="0" xfId="0" applyFill="1"/>
    <xf numFmtId="0" fontId="0" fillId="10" borderId="0" xfId="0" applyFill="1"/>
    <xf numFmtId="0" fontId="2" fillId="0" borderId="0" xfId="0" applyFont="1" applyFill="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749300</xdr:colOff>
      <xdr:row>1</xdr:row>
      <xdr:rowOff>50800</xdr:rowOff>
    </xdr:from>
    <xdr:to>
      <xdr:col>2</xdr:col>
      <xdr:colOff>522162</xdr:colOff>
      <xdr:row>5</xdr:row>
      <xdr:rowOff>130256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49300" y="254000"/>
          <a:ext cx="1779462" cy="8922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2</xdr:row>
          <xdr:rowOff>19050</xdr:rowOff>
        </xdr:from>
        <xdr:to>
          <xdr:col>2</xdr:col>
          <xdr:colOff>733425</xdr:colOff>
          <xdr:row>3</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Rename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8</xdr:row>
          <xdr:rowOff>0</xdr:rowOff>
        </xdr:from>
        <xdr:to>
          <xdr:col>2</xdr:col>
          <xdr:colOff>571500</xdr:colOff>
          <xdr:row>10</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2400" b="1" i="0" u="none" strike="noStrike" baseline="0">
                  <a:solidFill>
                    <a:srgbClr val="FF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xdr:colOff>
          <xdr:row>6</xdr:row>
          <xdr:rowOff>38100</xdr:rowOff>
        </xdr:from>
        <xdr:to>
          <xdr:col>5</xdr:col>
          <xdr:colOff>0</xdr:colOff>
          <xdr:row>8</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Find increase/decrease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xdr:row>
          <xdr:rowOff>161925</xdr:rowOff>
        </xdr:from>
        <xdr:to>
          <xdr:col>4</xdr:col>
          <xdr:colOff>809625</xdr:colOff>
          <xdr:row>11</xdr:row>
          <xdr:rowOff>95250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Find above/below average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13</xdr:row>
          <xdr:rowOff>85725</xdr:rowOff>
        </xdr:from>
        <xdr:to>
          <xdr:col>4</xdr:col>
          <xdr:colOff>514350</xdr:colOff>
          <xdr:row>16</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2400" b="1" i="0" u="none" strike="noStrike" baseline="0">
                  <a:solidFill>
                    <a:srgbClr val="FF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6</xdr:row>
          <xdr:rowOff>38100</xdr:rowOff>
        </xdr:from>
        <xdr:to>
          <xdr:col>5</xdr:col>
          <xdr:colOff>0</xdr:colOff>
          <xdr:row>8</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Find increase/decrease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xdr:row>
          <xdr:rowOff>161925</xdr:rowOff>
        </xdr:from>
        <xdr:to>
          <xdr:col>4</xdr:col>
          <xdr:colOff>809625</xdr:colOff>
          <xdr:row>11</xdr:row>
          <xdr:rowOff>95250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Find above/below average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371475</xdr:colOff>
          <xdr:row>9</xdr:row>
          <xdr:rowOff>38100</xdr:rowOff>
        </xdr:from>
        <xdr:to>
          <xdr:col>5</xdr:col>
          <xdr:colOff>619125</xdr:colOff>
          <xdr:row>10</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Format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314325</xdr:colOff>
          <xdr:row>13</xdr:row>
          <xdr:rowOff>123825</xdr:rowOff>
        </xdr:from>
        <xdr:to>
          <xdr:col>5</xdr:col>
          <xdr:colOff>619125</xdr:colOff>
          <xdr:row>16</xdr:row>
          <xdr:rowOff>47625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2400" b="1" i="0" u="none" strike="noStrike" baseline="0">
                  <a:solidFill>
                    <a:srgbClr val="FF0000"/>
                  </a:solidFill>
                  <a:latin typeface="Calibri"/>
                  <a:cs typeface="Calibri"/>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1876425</xdr:colOff>
          <xdr:row>7</xdr:row>
          <xdr:rowOff>85725</xdr:rowOff>
        </xdr:from>
        <xdr:to>
          <xdr:col>0</xdr:col>
          <xdr:colOff>3571875</xdr:colOff>
          <xdr:row>9</xdr:row>
          <xdr:rowOff>142875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Generate client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2209800</xdr:colOff>
          <xdr:row>13</xdr:row>
          <xdr:rowOff>0</xdr:rowOff>
        </xdr:from>
        <xdr:to>
          <xdr:col>0</xdr:col>
          <xdr:colOff>3352800</xdr:colOff>
          <xdr:row>15</xdr:row>
          <xdr:rowOff>123825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2400" b="1" i="0" u="none" strike="noStrike" baseline="0">
                  <a:solidFill>
                    <a:srgbClr val="FF0000"/>
                  </a:solidFill>
                  <a:latin typeface="Calibri"/>
                  <a:cs typeface="Calibri"/>
                </a:rPr>
                <a:t>RESET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6</xdr:col>
      <xdr:colOff>88900</xdr:colOff>
      <xdr:row>0</xdr:row>
      <xdr:rowOff>0</xdr:rowOff>
    </xdr:from>
    <xdr:to>
      <xdr:col>6</xdr:col>
      <xdr:colOff>723900</xdr:colOff>
      <xdr:row>0</xdr:row>
      <xdr:rowOff>0</xdr:rowOff>
    </xdr:to>
    <xdr:cxnSp macro="">
      <xdr:nvCxnSpPr>
        <xdr:cNvPr id="5" name="Straight Arrow Connector 4">
          <a:extLst>
            <a:ext uri="{FF2B5EF4-FFF2-40B4-BE49-F238E27FC236}">
              <a16:creationId xmlns:a16="http://schemas.microsoft.com/office/drawing/2014/main" id="{00000000-0008-0000-0900-000005000000}"/>
            </a:ext>
          </a:extLst>
        </xdr:cNvPr>
        <xdr:cNvCxnSpPr/>
      </xdr:nvCxnSpPr>
      <xdr:spPr>
        <a:xfrm flipH="1">
          <a:off x="8039100" y="10807700"/>
          <a:ext cx="635000" cy="0"/>
        </a:xfrm>
        <a:prstGeom prst="straightConnector1">
          <a:avLst/>
        </a:prstGeom>
        <a:ln>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88900</xdr:colOff>
      <xdr:row>0</xdr:row>
      <xdr:rowOff>0</xdr:rowOff>
    </xdr:from>
    <xdr:to>
      <xdr:col>8</xdr:col>
      <xdr:colOff>723900</xdr:colOff>
      <xdr:row>0</xdr:row>
      <xdr:rowOff>0</xdr:rowOff>
    </xdr:to>
    <xdr:cxnSp macro="">
      <xdr:nvCxnSpPr>
        <xdr:cNvPr id="10" name="Straight Arrow Connector 9">
          <a:extLst>
            <a:ext uri="{FF2B5EF4-FFF2-40B4-BE49-F238E27FC236}">
              <a16:creationId xmlns:a16="http://schemas.microsoft.com/office/drawing/2014/main" id="{00000000-0008-0000-0900-00000A000000}"/>
            </a:ext>
          </a:extLst>
        </xdr:cNvPr>
        <xdr:cNvCxnSpPr/>
      </xdr:nvCxnSpPr>
      <xdr:spPr>
        <a:xfrm flipH="1">
          <a:off x="9690100" y="13246100"/>
          <a:ext cx="635000" cy="0"/>
        </a:xfrm>
        <a:prstGeom prst="straightConnector1">
          <a:avLst/>
        </a:prstGeom>
        <a:ln>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228600</xdr:colOff>
          <xdr:row>41</xdr:row>
          <xdr:rowOff>47625</xdr:rowOff>
        </xdr:from>
        <xdr:to>
          <xdr:col>7</xdr:col>
          <xdr:colOff>533400</xdr:colOff>
          <xdr:row>42</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9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Run scenario analysis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200025</xdr:colOff>
          <xdr:row>56</xdr:row>
          <xdr:rowOff>9525</xdr:rowOff>
        </xdr:from>
        <xdr:to>
          <xdr:col>7</xdr:col>
          <xdr:colOff>504825</xdr:colOff>
          <xdr:row>57</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Run scenario analysis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41</xdr:row>
          <xdr:rowOff>28575</xdr:rowOff>
        </xdr:from>
        <xdr:to>
          <xdr:col>21</xdr:col>
          <xdr:colOff>390525</xdr:colOff>
          <xdr:row>42</xdr:row>
          <xdr:rowOff>114300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Run scenario analysis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200025</xdr:colOff>
          <xdr:row>33</xdr:row>
          <xdr:rowOff>66675</xdr:rowOff>
        </xdr:from>
        <xdr:to>
          <xdr:col>6</xdr:col>
          <xdr:colOff>504825</xdr:colOff>
          <xdr:row>35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900-0000040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2400" b="1" i="0" u="none" strike="noStrike" baseline="0">
                  <a:solidFill>
                    <a:srgbClr val="FF0000"/>
                  </a:solidFill>
                  <a:latin typeface="Calibri"/>
                  <a:cs typeface="Calibri"/>
                </a:rPr>
                <a:t>RESET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xdr:colOff>
          <xdr:row>1</xdr:row>
          <xdr:rowOff>114300</xdr:rowOff>
        </xdr:from>
        <xdr:to>
          <xdr:col>3</xdr:col>
          <xdr:colOff>381000</xdr:colOff>
          <xdr:row>3</xdr:row>
          <xdr:rowOff>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0" i="0" u="none" strike="noStrike" baseline="0">
                  <a:solidFill>
                    <a:srgbClr val="000000"/>
                  </a:solidFill>
                  <a:latin typeface="Calibri"/>
                  <a:cs typeface="Calibri"/>
                </a:rPr>
                <a:t>Run my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114300</xdr:colOff>
          <xdr:row>5</xdr:row>
          <xdr:rowOff>95250</xdr:rowOff>
        </xdr:from>
        <xdr:to>
          <xdr:col>2</xdr:col>
          <xdr:colOff>419100</xdr:colOff>
          <xdr:row>8</xdr:row>
          <xdr:rowOff>19050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SG" sz="2400" b="1" i="0" u="none" strike="noStrike" baseline="0">
                  <a:solidFill>
                    <a:srgbClr val="FF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D97DA-794D-4C45-8143-8A907FBEEBA8}">
  <sheetPr codeName="Sheet1"/>
  <dimension ref="B7:C27"/>
  <sheetViews>
    <sheetView zoomScale="113" workbookViewId="0">
      <selection activeCell="B21" sqref="B21"/>
    </sheetView>
  </sheetViews>
  <sheetFormatPr defaultColWidth="10.875" defaultRowHeight="15.75"/>
  <cols>
    <col min="1" max="1" width="10.875" style="4"/>
    <col min="2" max="2" width="15.5" style="4" customWidth="1"/>
    <col min="3" max="16384" width="10.875" style="4"/>
  </cols>
  <sheetData>
    <row r="7" spans="2:3">
      <c r="B7" s="3" t="s">
        <v>2</v>
      </c>
    </row>
    <row r="8" spans="2:3">
      <c r="B8" s="4" t="s">
        <v>3</v>
      </c>
    </row>
    <row r="10" spans="2:3" ht="22.5">
      <c r="B10" s="5" t="s">
        <v>4</v>
      </c>
    </row>
    <row r="13" spans="2:3">
      <c r="B13" s="4" t="s">
        <v>5</v>
      </c>
      <c r="C13" s="56" t="s">
        <v>530</v>
      </c>
    </row>
    <row r="14" spans="2:3">
      <c r="C14" s="3"/>
    </row>
    <row r="15" spans="2:3">
      <c r="B15" s="4" t="s">
        <v>6</v>
      </c>
      <c r="C15" s="3" t="s">
        <v>531</v>
      </c>
    </row>
    <row r="18" spans="2:2">
      <c r="B18" s="6"/>
    </row>
    <row r="27" spans="2:2">
      <c r="B27" s="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CD8DE-20C8-1D4E-882E-7B38E4FF24D0}">
  <sheetPr codeName="Sheet2"/>
  <dimension ref="A1"/>
  <sheetViews>
    <sheetView workbookViewId="0">
      <selection activeCell="D14" sqref="D14"/>
    </sheetView>
  </sheetViews>
  <sheetFormatPr defaultColWidth="11" defaultRowHeight="15.7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2.part1">
                <anchor moveWithCells="1">
                  <from>
                    <xdr:col>1</xdr:col>
                    <xdr:colOff>47625</xdr:colOff>
                    <xdr:row>2</xdr:row>
                    <xdr:rowOff>19050</xdr:rowOff>
                  </from>
                  <to>
                    <xdr:col>2</xdr:col>
                    <xdr:colOff>733425</xdr:colOff>
                    <xdr:row>3</xdr:row>
                    <xdr:rowOff>152400</xdr:rowOff>
                  </to>
                </anchor>
              </controlPr>
            </control>
          </mc:Choice>
        </mc:AlternateContent>
        <mc:AlternateContent xmlns:mc="http://schemas.openxmlformats.org/markup-compatibility/2006">
          <mc:Choice Requires="x14">
            <control shapeId="3074" r:id="rId5" name="Button 2">
              <controlPr defaultSize="0" print="0" autoFill="0" autoPict="0" macro="[0]!Sheet2.Reset">
                <anchor moveWithCells="1" sizeWithCells="1">
                  <from>
                    <xdr:col>1</xdr:col>
                    <xdr:colOff>114300</xdr:colOff>
                    <xdr:row>8</xdr:row>
                    <xdr:rowOff>0</xdr:rowOff>
                  </from>
                  <to>
                    <xdr:col>2</xdr:col>
                    <xdr:colOff>571500</xdr:colOff>
                    <xdr:row>10</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C8F2F-3FCF-E14F-B4F9-AEC8AC5A0C3A}">
  <sheetPr codeName="Sheet3"/>
  <dimension ref="A1:ZI1749"/>
  <sheetViews>
    <sheetView zoomScaleNormal="100" workbookViewId="0">
      <selection activeCell="D24" sqref="D24"/>
    </sheetView>
  </sheetViews>
  <sheetFormatPr defaultColWidth="11" defaultRowHeight="15.75"/>
  <cols>
    <col min="1" max="1" width="11" style="1"/>
    <col min="2" max="2" width="12" style="1" customWidth="1"/>
    <col min="4" max="4" width="11" style="1"/>
    <col min="6" max="6" width="11" style="1"/>
    <col min="8" max="8" width="11" style="1"/>
    <col min="9" max="9" width="12" style="1" customWidth="1"/>
    <col min="27" max="27" width="11" style="1"/>
    <col min="28" max="28" width="12" style="1" customWidth="1"/>
    <col min="30" max="30" width="11" style="1"/>
    <col min="32" max="32" width="11" style="1"/>
    <col min="34" max="34" width="11" style="1"/>
    <col min="35" max="35" width="12" style="1" customWidth="1"/>
    <col min="54" max="54" width="12" customWidth="1"/>
    <col min="61" max="61" width="12" customWidth="1"/>
    <col min="80" max="80" width="12" customWidth="1"/>
    <col min="87" max="87" width="12" customWidth="1"/>
    <col min="106" max="106" width="12" customWidth="1"/>
    <col min="113" max="113" width="12" customWidth="1"/>
    <col min="132" max="132" width="12" customWidth="1"/>
    <col min="139" max="139" width="12" customWidth="1"/>
    <col min="158" max="158" width="12" customWidth="1"/>
    <col min="165" max="165" width="12" customWidth="1"/>
    <col min="184" max="184" width="12" customWidth="1"/>
    <col min="191" max="191" width="12" customWidth="1"/>
    <col min="210" max="210" width="12" customWidth="1"/>
    <col min="217" max="217" width="12" customWidth="1"/>
    <col min="236" max="236" width="12" customWidth="1"/>
    <col min="240" max="240" width="11" style="1"/>
    <col min="242" max="242" width="11" style="1"/>
    <col min="243" max="243" width="12" style="1" customWidth="1"/>
    <col min="261" max="261" width="11" style="1"/>
    <col min="262" max="262" width="12" style="1" customWidth="1"/>
    <col min="264" max="264" width="11" style="1"/>
    <col min="266" max="266" width="11" style="1"/>
    <col min="268" max="268" width="11" style="1"/>
    <col min="269" max="269" width="12" style="1" customWidth="1"/>
    <col min="287" max="287" width="11" style="1"/>
    <col min="288" max="288" width="12" style="1" customWidth="1"/>
    <col min="290" max="290" width="11" style="1"/>
    <col min="292" max="292" width="11" style="1"/>
    <col min="294" max="294" width="11" style="1"/>
    <col min="295" max="295" width="12" style="1" customWidth="1"/>
    <col min="313" max="313" width="11" style="1"/>
    <col min="314" max="314" width="12" style="1" customWidth="1"/>
    <col min="316" max="316" width="11" style="1"/>
    <col min="318" max="318" width="11" style="1"/>
    <col min="320" max="320" width="11" style="1"/>
    <col min="321" max="321" width="12" style="1" customWidth="1"/>
    <col min="339" max="339" width="11" style="1"/>
    <col min="340" max="340" width="12" style="1" customWidth="1"/>
    <col min="342" max="342" width="11" style="1"/>
    <col min="344" max="344" width="11" style="1"/>
    <col min="346" max="346" width="11" style="1"/>
    <col min="347" max="347" width="12" style="1" customWidth="1"/>
    <col min="365" max="365" width="11" style="1"/>
    <col min="366" max="366" width="12" style="1" customWidth="1"/>
    <col min="368" max="368" width="11" style="1"/>
    <col min="370" max="370" width="11" style="1"/>
    <col min="372" max="372" width="11" style="1"/>
    <col min="373" max="373" width="12" style="1" customWidth="1"/>
    <col min="391" max="391" width="11" style="1"/>
    <col min="392" max="392" width="12" style="1" customWidth="1"/>
    <col min="394" max="394" width="11" style="1"/>
    <col min="396" max="396" width="11" style="1"/>
    <col min="398" max="398" width="11" style="1"/>
    <col min="399" max="399" width="12" style="1" customWidth="1"/>
    <col min="417" max="417" width="11" style="1"/>
    <col min="418" max="418" width="12" style="1" customWidth="1"/>
    <col min="420" max="420" width="11" style="1"/>
    <col min="422" max="422" width="11" style="1"/>
    <col min="424" max="424" width="11" style="1"/>
    <col min="425" max="425" width="12" style="1" customWidth="1"/>
    <col min="443" max="443" width="11" style="1"/>
    <col min="444" max="444" width="12" style="1" customWidth="1"/>
    <col min="446" max="446" width="11" style="1"/>
    <col min="448" max="448" width="11" style="1"/>
    <col min="450" max="450" width="11" style="1"/>
    <col min="451" max="451" width="12" style="1" customWidth="1"/>
    <col min="469" max="469" width="11" style="1"/>
    <col min="470" max="470" width="12" style="1" customWidth="1"/>
    <col min="472" max="472" width="11" style="1"/>
    <col min="474" max="474" width="11" style="1"/>
    <col min="476" max="476" width="11" style="1"/>
    <col min="477" max="477" width="12" style="1" customWidth="1"/>
    <col min="495" max="495" width="11" style="1"/>
    <col min="496" max="496" width="12" style="1" customWidth="1"/>
    <col min="498" max="498" width="11" style="1"/>
    <col min="500" max="500" width="11" style="1"/>
    <col min="502" max="502" width="11" style="1"/>
    <col min="503" max="503" width="12" style="1" customWidth="1"/>
    <col min="521" max="521" width="11" style="1"/>
    <col min="522" max="522" width="12" style="1" customWidth="1"/>
    <col min="524" max="524" width="11" style="1"/>
    <col min="526" max="526" width="11" style="1"/>
    <col min="528" max="528" width="11" style="1"/>
    <col min="529" max="529" width="12" style="1" customWidth="1"/>
    <col min="547" max="547" width="11" style="1"/>
    <col min="548" max="548" width="12" style="1" customWidth="1"/>
    <col min="550" max="550" width="11" style="1"/>
    <col min="552" max="552" width="11" style="1"/>
    <col min="554" max="554" width="11" style="1"/>
    <col min="555" max="555" width="12" style="1" customWidth="1"/>
    <col min="573" max="573" width="11" style="1"/>
    <col min="574" max="574" width="12" style="1" customWidth="1"/>
    <col min="576" max="576" width="11" style="1"/>
    <col min="578" max="578" width="11" style="1"/>
    <col min="580" max="580" width="11" style="1"/>
    <col min="581" max="581" width="12" style="1" customWidth="1"/>
    <col min="599" max="599" width="11" style="1"/>
    <col min="600" max="600" width="12" style="1" customWidth="1"/>
    <col min="602" max="602" width="11" style="1"/>
    <col min="604" max="604" width="11" style="1"/>
    <col min="606" max="606" width="11" style="1"/>
    <col min="607" max="607" width="12" style="1" customWidth="1"/>
    <col min="625" max="625" width="11" style="1"/>
    <col min="626" max="626" width="12" style="1" customWidth="1"/>
    <col min="628" max="628" width="11" style="1"/>
    <col min="630" max="630" width="11" style="1"/>
    <col min="632" max="632" width="11" style="1"/>
    <col min="633" max="633" width="12" style="1" customWidth="1"/>
    <col min="651" max="651" width="11" style="1"/>
    <col min="652" max="652" width="12" style="1" customWidth="1"/>
    <col min="654" max="654" width="11" style="1"/>
    <col min="656" max="656" width="11" style="1"/>
    <col min="658" max="658" width="11" style="1"/>
    <col min="659" max="659" width="12" style="1" customWidth="1"/>
    <col min="677" max="677" width="11" style="1"/>
    <col min="678" max="678" width="12" style="1" customWidth="1"/>
    <col min="680" max="680" width="11" style="1"/>
    <col min="682" max="682" width="11" style="1"/>
    <col min="684" max="684" width="11" style="1"/>
    <col min="685" max="685" width="12" style="1" customWidth="1"/>
  </cols>
  <sheetData>
    <row r="1" spans="1:685" ht="15.75" customHeight="1">
      <c r="A1" s="31" t="s">
        <v>465</v>
      </c>
      <c r="B1"/>
      <c r="AA1" s="31" t="s">
        <v>465</v>
      </c>
      <c r="AB1"/>
      <c r="AE1" t="b">
        <v>1</v>
      </c>
      <c r="JA1" s="31"/>
      <c r="JB1"/>
      <c r="KA1" s="31"/>
      <c r="KB1"/>
      <c r="LA1" s="31"/>
      <c r="LB1"/>
      <c r="MA1" s="31"/>
      <c r="MB1"/>
      <c r="NA1" s="31"/>
      <c r="NB1"/>
      <c r="OA1" s="31"/>
      <c r="OB1"/>
      <c r="PA1" s="31"/>
      <c r="PB1"/>
      <c r="QA1" s="31"/>
      <c r="QB1"/>
      <c r="RA1" s="31"/>
      <c r="RB1"/>
      <c r="SA1" s="31"/>
      <c r="SB1"/>
      <c r="TA1" s="31"/>
      <c r="TB1"/>
      <c r="UA1" s="31"/>
      <c r="UB1"/>
      <c r="VA1" s="31"/>
      <c r="VB1"/>
      <c r="WA1" s="31"/>
      <c r="WB1"/>
      <c r="XA1" s="31"/>
      <c r="XB1"/>
      <c r="YA1" s="31"/>
      <c r="YB1"/>
      <c r="ZA1" s="31"/>
      <c r="ZB1"/>
    </row>
    <row r="2" spans="1:685" ht="15.75" customHeight="1"/>
    <row r="3" spans="1:685" ht="69.95" customHeight="1" thickBot="1">
      <c r="A3" s="51" t="s">
        <v>462</v>
      </c>
      <c r="B3" s="51" t="s">
        <v>463</v>
      </c>
      <c r="F3" s="51"/>
      <c r="I3" s="51"/>
      <c r="AA3" s="51" t="s">
        <v>462</v>
      </c>
      <c r="AB3" s="51" t="s">
        <v>463</v>
      </c>
      <c r="AF3" s="51"/>
      <c r="AI3" s="51"/>
      <c r="IF3" s="51"/>
      <c r="II3" s="51"/>
      <c r="JA3" s="51"/>
      <c r="JB3" s="51"/>
      <c r="JF3" s="51"/>
      <c r="JI3" s="51"/>
      <c r="KA3" s="51"/>
      <c r="KB3" s="51"/>
      <c r="KF3" s="51"/>
      <c r="KI3" s="51"/>
      <c r="LA3" s="51"/>
      <c r="LB3" s="51"/>
      <c r="LF3" s="51"/>
      <c r="LI3" s="51"/>
      <c r="MA3" s="51"/>
      <c r="MB3" s="51"/>
      <c r="MF3" s="51"/>
      <c r="MI3" s="51"/>
      <c r="NA3" s="51"/>
      <c r="NB3" s="51"/>
      <c r="NF3" s="51"/>
      <c r="NI3" s="51"/>
      <c r="OA3" s="51"/>
      <c r="OB3" s="51"/>
      <c r="OF3" s="51"/>
      <c r="OI3" s="51"/>
      <c r="PA3" s="51"/>
      <c r="PB3" s="51"/>
      <c r="PF3" s="51"/>
      <c r="PI3" s="51"/>
      <c r="QA3" s="51"/>
      <c r="QB3" s="51"/>
      <c r="QF3" s="51"/>
      <c r="QI3" s="51"/>
      <c r="RA3" s="51"/>
      <c r="RB3" s="51"/>
      <c r="RF3" s="51"/>
      <c r="RI3" s="51"/>
      <c r="SA3" s="51"/>
      <c r="SB3" s="51"/>
      <c r="SF3" s="51"/>
      <c r="SI3" s="51"/>
      <c r="TA3" s="51"/>
      <c r="TB3" s="51"/>
      <c r="TF3" s="51"/>
      <c r="TI3" s="51"/>
      <c r="UA3" s="51"/>
      <c r="UB3" s="51"/>
      <c r="UF3" s="51"/>
      <c r="UI3" s="51"/>
      <c r="VA3" s="51"/>
      <c r="VB3" s="51"/>
      <c r="VF3" s="51"/>
      <c r="VI3" s="51"/>
      <c r="WA3" s="51"/>
      <c r="WB3" s="51"/>
      <c r="WF3" s="51"/>
      <c r="WI3" s="51"/>
      <c r="XA3" s="51"/>
      <c r="XB3" s="51"/>
      <c r="XF3" s="51"/>
      <c r="XI3" s="51"/>
      <c r="YA3" s="51"/>
      <c r="YB3" s="51"/>
      <c r="YF3" s="51"/>
      <c r="YI3" s="51"/>
      <c r="ZA3" s="51"/>
      <c r="ZB3" s="51"/>
      <c r="ZF3" s="51"/>
      <c r="ZI3" s="51"/>
    </row>
    <row r="4" spans="1:685" ht="16.5" customHeight="1" thickTop="1">
      <c r="A4" s="1" t="s">
        <v>7</v>
      </c>
      <c r="B4" s="1">
        <v>167016</v>
      </c>
      <c r="D4" s="39" t="s">
        <v>472</v>
      </c>
      <c r="AA4" s="1" t="s">
        <v>7</v>
      </c>
      <c r="AB4" s="1">
        <v>167016</v>
      </c>
      <c r="AD4" s="39" t="s">
        <v>472</v>
      </c>
      <c r="IF4"/>
      <c r="IH4"/>
      <c r="II4"/>
      <c r="JA4"/>
      <c r="JB4"/>
      <c r="JD4"/>
      <c r="JF4"/>
      <c r="JH4"/>
      <c r="JI4"/>
      <c r="KA4"/>
      <c r="KB4"/>
      <c r="KD4"/>
      <c r="KF4"/>
      <c r="KH4"/>
      <c r="KI4"/>
      <c r="LA4"/>
      <c r="LB4"/>
      <c r="LD4"/>
      <c r="LF4"/>
      <c r="LH4"/>
      <c r="LI4"/>
      <c r="MA4"/>
      <c r="MB4"/>
      <c r="MD4"/>
      <c r="MF4"/>
      <c r="MH4"/>
      <c r="MI4"/>
      <c r="NA4"/>
      <c r="NB4"/>
      <c r="ND4"/>
      <c r="NF4"/>
      <c r="NH4"/>
      <c r="NI4"/>
      <c r="OA4"/>
      <c r="OB4"/>
      <c r="OD4"/>
      <c r="OF4"/>
      <c r="OH4"/>
      <c r="OI4"/>
      <c r="PA4"/>
      <c r="PB4"/>
      <c r="PD4"/>
      <c r="PF4"/>
      <c r="PH4"/>
      <c r="PI4"/>
      <c r="QA4"/>
      <c r="QB4"/>
      <c r="QD4"/>
      <c r="QF4"/>
      <c r="QH4"/>
      <c r="QI4"/>
      <c r="RA4"/>
      <c r="RB4"/>
      <c r="RD4"/>
      <c r="RF4"/>
      <c r="RH4"/>
      <c r="RI4"/>
      <c r="SA4"/>
      <c r="SB4"/>
      <c r="SD4"/>
      <c r="TD4"/>
      <c r="TF4"/>
      <c r="TH4"/>
      <c r="TI4"/>
      <c r="UA4"/>
      <c r="UB4"/>
      <c r="UD4"/>
      <c r="UF4"/>
      <c r="UH4"/>
      <c r="UI4"/>
      <c r="VA4"/>
      <c r="VB4"/>
      <c r="VD4"/>
      <c r="WD4"/>
      <c r="WF4"/>
      <c r="WH4"/>
      <c r="WI4"/>
      <c r="XA4"/>
      <c r="XB4"/>
      <c r="XD4"/>
      <c r="XF4"/>
      <c r="XH4"/>
      <c r="XI4"/>
      <c r="YA4"/>
      <c r="YB4"/>
      <c r="YD4"/>
      <c r="YF4"/>
      <c r="YH4"/>
      <c r="ZD4"/>
    </row>
    <row r="5" spans="1:685" ht="16.5" customHeight="1" thickBot="1">
      <c r="A5" s="1" t="s">
        <v>8</v>
      </c>
      <c r="B5" s="1">
        <v>147954</v>
      </c>
      <c r="D5" s="40">
        <f>AVERAGE(B4:B458)</f>
        <v>597935.81098901096</v>
      </c>
      <c r="AA5" s="1" t="s">
        <v>8</v>
      </c>
      <c r="AB5" s="1">
        <v>147954</v>
      </c>
      <c r="AD5" s="40">
        <f>AVERAGE(AB4:AB458)</f>
        <v>597935.81098901096</v>
      </c>
      <c r="IF5"/>
      <c r="IH5"/>
      <c r="II5"/>
      <c r="JA5"/>
      <c r="JB5"/>
      <c r="JD5"/>
      <c r="JF5"/>
      <c r="JH5"/>
      <c r="JI5"/>
      <c r="KA5"/>
      <c r="KB5"/>
      <c r="KD5"/>
      <c r="KF5"/>
      <c r="KH5"/>
      <c r="KI5"/>
      <c r="LA5"/>
      <c r="LB5"/>
      <c r="LD5"/>
      <c r="LF5"/>
      <c r="LH5"/>
      <c r="LI5"/>
      <c r="MA5"/>
      <c r="MB5"/>
      <c r="MD5"/>
      <c r="MF5"/>
      <c r="MH5"/>
      <c r="MI5"/>
      <c r="NA5"/>
      <c r="NB5"/>
      <c r="ND5"/>
      <c r="NF5"/>
      <c r="NH5"/>
      <c r="NI5"/>
      <c r="OA5"/>
      <c r="OB5"/>
      <c r="OD5"/>
      <c r="OF5"/>
      <c r="OH5"/>
      <c r="OI5"/>
      <c r="PA5"/>
      <c r="PB5"/>
      <c r="PD5"/>
      <c r="PF5"/>
      <c r="PH5"/>
      <c r="PI5"/>
      <c r="QA5"/>
      <c r="QB5"/>
      <c r="QD5"/>
      <c r="QF5"/>
      <c r="QH5"/>
      <c r="QI5"/>
      <c r="RA5"/>
      <c r="RB5"/>
      <c r="RD5"/>
      <c r="RF5"/>
      <c r="RH5"/>
      <c r="RI5"/>
      <c r="SA5"/>
      <c r="SB5"/>
      <c r="SD5"/>
      <c r="TD5"/>
      <c r="TF5"/>
      <c r="TH5"/>
      <c r="TI5"/>
      <c r="UA5"/>
      <c r="UB5"/>
      <c r="UD5"/>
      <c r="UF5"/>
      <c r="UH5"/>
      <c r="UI5"/>
      <c r="VA5"/>
      <c r="VB5"/>
      <c r="VD5"/>
      <c r="WD5"/>
      <c r="WF5"/>
      <c r="WH5"/>
      <c r="WI5"/>
      <c r="XA5"/>
      <c r="XB5"/>
      <c r="XD5"/>
      <c r="XF5"/>
      <c r="XH5"/>
      <c r="XI5"/>
      <c r="YA5"/>
      <c r="YB5"/>
      <c r="YD5"/>
      <c r="YF5"/>
      <c r="YH5"/>
      <c r="ZD5"/>
    </row>
    <row r="6" spans="1:685" ht="16.5" customHeight="1" thickTop="1">
      <c r="A6" s="1" t="s">
        <v>9</v>
      </c>
      <c r="B6" s="1">
        <v>163199</v>
      </c>
      <c r="AA6" s="1" t="s">
        <v>9</v>
      </c>
      <c r="AB6" s="1">
        <v>163199</v>
      </c>
    </row>
    <row r="7" spans="1:685" ht="15.75" customHeight="1">
      <c r="A7" s="1" t="s">
        <v>10</v>
      </c>
      <c r="B7" s="1">
        <v>162400</v>
      </c>
      <c r="AA7" s="1" t="s">
        <v>10</v>
      </c>
      <c r="AB7" s="1">
        <v>162400</v>
      </c>
    </row>
    <row r="8" spans="1:685" ht="15.75" customHeight="1">
      <c r="A8" s="1" t="s">
        <v>11</v>
      </c>
      <c r="B8" s="1">
        <v>162667</v>
      </c>
      <c r="AA8" s="1" t="s">
        <v>11</v>
      </c>
      <c r="AB8" s="1">
        <v>162667</v>
      </c>
    </row>
    <row r="9" spans="1:685" ht="15.75" customHeight="1">
      <c r="A9" s="1" t="s">
        <v>12</v>
      </c>
      <c r="B9" s="1">
        <v>149896</v>
      </c>
      <c r="AA9" s="1" t="s">
        <v>12</v>
      </c>
      <c r="AB9" s="1">
        <v>149896</v>
      </c>
    </row>
    <row r="10" spans="1:685" ht="15.75" customHeight="1">
      <c r="A10" s="1" t="s">
        <v>13</v>
      </c>
      <c r="B10" s="1">
        <v>175968</v>
      </c>
      <c r="AA10" s="1" t="s">
        <v>13</v>
      </c>
      <c r="AB10" s="1">
        <v>175968</v>
      </c>
    </row>
    <row r="11" spans="1:685" ht="15.75" customHeight="1">
      <c r="A11" s="1" t="s">
        <v>14</v>
      </c>
      <c r="B11" s="1">
        <v>201355</v>
      </c>
      <c r="AA11" s="1" t="s">
        <v>14</v>
      </c>
      <c r="AB11" s="1">
        <v>201355</v>
      </c>
    </row>
    <row r="12" spans="1:685" ht="15.75" customHeight="1">
      <c r="A12" s="1" t="s">
        <v>15</v>
      </c>
      <c r="B12" s="1">
        <v>167980</v>
      </c>
      <c r="AA12" s="1" t="s">
        <v>15</v>
      </c>
      <c r="AB12" s="1">
        <v>167980</v>
      </c>
    </row>
    <row r="13" spans="1:685" ht="15.75" customHeight="1">
      <c r="A13" s="1" t="s">
        <v>16</v>
      </c>
      <c r="B13" s="1">
        <v>177639</v>
      </c>
      <c r="AA13" s="1" t="s">
        <v>16</v>
      </c>
      <c r="AB13" s="1">
        <v>177639</v>
      </c>
    </row>
    <row r="14" spans="1:685" ht="15.75" customHeight="1">
      <c r="A14" s="1" t="s">
        <v>17</v>
      </c>
      <c r="B14" s="1">
        <v>181463</v>
      </c>
      <c r="AA14" s="1" t="s">
        <v>17</v>
      </c>
      <c r="AB14" s="1">
        <v>181463</v>
      </c>
    </row>
    <row r="15" spans="1:685" ht="15.75" customHeight="1">
      <c r="A15" s="1" t="s">
        <v>18</v>
      </c>
      <c r="B15" s="1">
        <v>189687</v>
      </c>
      <c r="AA15" s="1" t="s">
        <v>18</v>
      </c>
      <c r="AB15" s="1">
        <v>189687</v>
      </c>
    </row>
    <row r="16" spans="1:685" ht="15.75" customHeight="1">
      <c r="A16" s="1" t="s">
        <v>19</v>
      </c>
      <c r="B16" s="52">
        <v>179788</v>
      </c>
      <c r="AA16" s="1" t="s">
        <v>19</v>
      </c>
      <c r="AB16" s="1">
        <v>179788</v>
      </c>
    </row>
    <row r="17" spans="1:28" ht="15.75" customHeight="1">
      <c r="A17" s="1" t="s">
        <v>20</v>
      </c>
      <c r="B17" s="52">
        <v>160618</v>
      </c>
      <c r="AA17" s="1" t="s">
        <v>20</v>
      </c>
      <c r="AB17" s="1">
        <v>160618</v>
      </c>
    </row>
    <row r="18" spans="1:28" ht="15.75" customHeight="1">
      <c r="A18" s="1" t="s">
        <v>21</v>
      </c>
      <c r="B18" s="52">
        <v>176654</v>
      </c>
      <c r="AA18" s="1" t="s">
        <v>21</v>
      </c>
      <c r="AB18" s="1">
        <v>176654</v>
      </c>
    </row>
    <row r="19" spans="1:28" ht="15.75" customHeight="1">
      <c r="A19" s="1" t="s">
        <v>22</v>
      </c>
      <c r="B19" s="52">
        <v>179714</v>
      </c>
      <c r="AA19" s="1" t="s">
        <v>22</v>
      </c>
      <c r="AB19" s="1">
        <v>179714</v>
      </c>
    </row>
    <row r="20" spans="1:28" ht="15.75" customHeight="1">
      <c r="A20" s="1" t="s">
        <v>23</v>
      </c>
      <c r="B20" s="52">
        <v>175055</v>
      </c>
      <c r="AA20" s="1" t="s">
        <v>23</v>
      </c>
      <c r="AB20" s="1">
        <v>175055</v>
      </c>
    </row>
    <row r="21" spans="1:28" ht="15.75" customHeight="1">
      <c r="A21" s="1" t="s">
        <v>24</v>
      </c>
      <c r="B21" s="52">
        <v>177746</v>
      </c>
      <c r="AA21" s="1" t="s">
        <v>24</v>
      </c>
      <c r="AB21" s="1">
        <v>177746</v>
      </c>
    </row>
    <row r="22" spans="1:28" ht="15.75" customHeight="1">
      <c r="A22" s="1" t="s">
        <v>25</v>
      </c>
      <c r="B22" s="52">
        <v>200664</v>
      </c>
      <c r="AA22" s="1" t="s">
        <v>25</v>
      </c>
      <c r="AB22" s="1">
        <v>200664</v>
      </c>
    </row>
    <row r="23" spans="1:28" ht="15.75" customHeight="1">
      <c r="A23" s="1" t="s">
        <v>26</v>
      </c>
      <c r="B23" s="52">
        <v>214021</v>
      </c>
      <c r="AA23" s="1" t="s">
        <v>26</v>
      </c>
      <c r="AB23" s="1">
        <v>214021</v>
      </c>
    </row>
    <row r="24" spans="1:28" ht="15.75" customHeight="1">
      <c r="A24" s="1" t="s">
        <v>27</v>
      </c>
      <c r="B24" s="52">
        <v>179596</v>
      </c>
      <c r="AA24" s="1" t="s">
        <v>27</v>
      </c>
      <c r="AB24" s="1">
        <v>179596</v>
      </c>
    </row>
    <row r="25" spans="1:28" ht="15.75" customHeight="1">
      <c r="A25" s="1" t="s">
        <v>28</v>
      </c>
      <c r="B25" s="52">
        <v>194919</v>
      </c>
      <c r="AA25" s="1" t="s">
        <v>28</v>
      </c>
      <c r="AB25" s="1">
        <v>194919</v>
      </c>
    </row>
    <row r="26" spans="1:28" ht="15.75" customHeight="1">
      <c r="A26" s="1" t="s">
        <v>29</v>
      </c>
      <c r="B26" s="52">
        <v>198778</v>
      </c>
      <c r="AA26" s="1" t="s">
        <v>29</v>
      </c>
      <c r="AB26" s="1">
        <v>198778</v>
      </c>
    </row>
    <row r="27" spans="1:28" ht="15.75" customHeight="1">
      <c r="A27" s="1" t="s">
        <v>30</v>
      </c>
      <c r="B27" s="52">
        <v>209538</v>
      </c>
      <c r="AA27" s="1" t="s">
        <v>30</v>
      </c>
      <c r="AB27" s="1">
        <v>209538</v>
      </c>
    </row>
    <row r="28" spans="1:28" ht="15.75" customHeight="1">
      <c r="A28" s="1" t="s">
        <v>31</v>
      </c>
      <c r="B28" s="52">
        <v>201100</v>
      </c>
      <c r="AA28" s="1" t="s">
        <v>31</v>
      </c>
      <c r="AB28" s="1">
        <v>201100</v>
      </c>
    </row>
    <row r="29" spans="1:28" ht="15.75" customHeight="1">
      <c r="A29" s="1" t="s">
        <v>32</v>
      </c>
      <c r="B29" s="52">
        <v>189235</v>
      </c>
      <c r="AA29" s="1" t="s">
        <v>32</v>
      </c>
      <c r="AB29" s="1">
        <v>189235</v>
      </c>
    </row>
    <row r="30" spans="1:28" ht="15.75" customHeight="1">
      <c r="A30" s="1" t="s">
        <v>33</v>
      </c>
      <c r="B30" s="52">
        <v>204710</v>
      </c>
      <c r="AA30" s="1" t="s">
        <v>33</v>
      </c>
      <c r="AB30" s="1">
        <v>204710</v>
      </c>
    </row>
    <row r="31" spans="1:28" ht="15.75" customHeight="1">
      <c r="A31" s="1" t="s">
        <v>34</v>
      </c>
      <c r="B31" s="52">
        <v>198860</v>
      </c>
      <c r="AA31" s="1" t="s">
        <v>34</v>
      </c>
      <c r="AB31" s="1">
        <v>198860</v>
      </c>
    </row>
    <row r="32" spans="1:28" ht="15.75" customHeight="1">
      <c r="A32" s="1" t="s">
        <v>35</v>
      </c>
      <c r="B32" s="52">
        <v>204398</v>
      </c>
      <c r="AA32" s="1" t="s">
        <v>35</v>
      </c>
      <c r="AB32" s="1">
        <v>204398</v>
      </c>
    </row>
    <row r="33" spans="1:28" ht="15.75" customHeight="1">
      <c r="A33" s="1" t="s">
        <v>36</v>
      </c>
      <c r="B33" s="52">
        <v>195567</v>
      </c>
      <c r="AA33" s="1" t="s">
        <v>36</v>
      </c>
      <c r="AB33" s="1">
        <v>195567</v>
      </c>
    </row>
    <row r="34" spans="1:28" ht="15.75" customHeight="1">
      <c r="A34" s="1" t="s">
        <v>37</v>
      </c>
      <c r="B34" s="52">
        <v>227464</v>
      </c>
      <c r="AA34" s="1" t="s">
        <v>37</v>
      </c>
      <c r="AB34" s="1">
        <v>227464</v>
      </c>
    </row>
    <row r="35" spans="1:28" ht="15.75" customHeight="1">
      <c r="A35" s="1" t="s">
        <v>38</v>
      </c>
      <c r="B35" s="52">
        <v>247926</v>
      </c>
      <c r="AA35" s="1" t="s">
        <v>38</v>
      </c>
      <c r="AB35" s="1">
        <v>247926</v>
      </c>
    </row>
    <row r="36" spans="1:28" ht="15.75" customHeight="1">
      <c r="A36" s="1" t="s">
        <v>39</v>
      </c>
      <c r="B36" s="52">
        <v>199252</v>
      </c>
      <c r="AA36" s="1" t="s">
        <v>39</v>
      </c>
      <c r="AB36" s="1">
        <v>199252</v>
      </c>
    </row>
    <row r="37" spans="1:28" ht="15.75" customHeight="1">
      <c r="A37" s="1" t="s">
        <v>40</v>
      </c>
      <c r="B37" s="52">
        <v>220704</v>
      </c>
      <c r="AA37" s="1" t="s">
        <v>40</v>
      </c>
      <c r="AB37" s="1">
        <v>220704</v>
      </c>
    </row>
    <row r="38" spans="1:28" ht="15.75" customHeight="1">
      <c r="A38" s="1" t="s">
        <v>41</v>
      </c>
      <c r="B38" s="52">
        <v>224756</v>
      </c>
      <c r="AA38" s="1" t="s">
        <v>41</v>
      </c>
      <c r="AB38" s="1">
        <v>224756</v>
      </c>
    </row>
    <row r="39" spans="1:28" ht="15.75" customHeight="1">
      <c r="A39" s="1" t="s">
        <v>42</v>
      </c>
      <c r="B39" s="52">
        <v>248113</v>
      </c>
      <c r="AA39" s="1" t="s">
        <v>42</v>
      </c>
      <c r="AB39" s="1">
        <v>248113</v>
      </c>
    </row>
    <row r="40" spans="1:28" ht="15.75" customHeight="1">
      <c r="A40" s="1" t="s">
        <v>43</v>
      </c>
      <c r="B40" s="52">
        <v>227549</v>
      </c>
      <c r="AA40" s="1" t="s">
        <v>43</v>
      </c>
      <c r="AB40" s="1">
        <v>227549</v>
      </c>
    </row>
    <row r="41" spans="1:28" ht="15.75" customHeight="1">
      <c r="A41" s="1" t="s">
        <v>44</v>
      </c>
      <c r="B41" s="52">
        <v>215701</v>
      </c>
      <c r="AA41" s="1" t="s">
        <v>44</v>
      </c>
      <c r="AB41" s="1">
        <v>215701</v>
      </c>
    </row>
    <row r="42" spans="1:28" ht="15.75" customHeight="1">
      <c r="A42" s="1" t="s">
        <v>45</v>
      </c>
      <c r="B42" s="52">
        <v>225654</v>
      </c>
      <c r="AA42" s="1" t="s">
        <v>45</v>
      </c>
      <c r="AB42" s="1">
        <v>225654</v>
      </c>
    </row>
    <row r="43" spans="1:28" ht="15.75" customHeight="1">
      <c r="A43" s="1" t="s">
        <v>46</v>
      </c>
      <c r="B43" s="52">
        <v>226025</v>
      </c>
      <c r="AA43" s="1" t="s">
        <v>46</v>
      </c>
      <c r="AB43" s="1">
        <v>226025</v>
      </c>
    </row>
    <row r="44" spans="1:28" ht="15.75" customHeight="1">
      <c r="A44" s="1" t="s">
        <v>47</v>
      </c>
      <c r="B44" s="52">
        <v>220442</v>
      </c>
      <c r="AA44" s="1" t="s">
        <v>47</v>
      </c>
      <c r="AB44" s="1">
        <v>220442</v>
      </c>
    </row>
    <row r="45" spans="1:28" ht="15.75" customHeight="1">
      <c r="A45" s="1" t="s">
        <v>48</v>
      </c>
      <c r="B45" s="52">
        <v>225874</v>
      </c>
      <c r="AA45" s="1" t="s">
        <v>48</v>
      </c>
      <c r="AB45" s="1">
        <v>225874</v>
      </c>
    </row>
    <row r="46" spans="1:28" ht="15.75" customHeight="1">
      <c r="A46" s="1" t="s">
        <v>49</v>
      </c>
      <c r="B46" s="52">
        <v>255314</v>
      </c>
      <c r="AA46" s="1" t="s">
        <v>49</v>
      </c>
      <c r="AB46" s="1">
        <v>255314</v>
      </c>
    </row>
    <row r="47" spans="1:28" ht="15.75" customHeight="1">
      <c r="A47" s="1" t="s">
        <v>50</v>
      </c>
      <c r="B47" s="52">
        <v>275950</v>
      </c>
      <c r="AA47" s="1" t="s">
        <v>50</v>
      </c>
      <c r="AB47" s="1">
        <v>275950</v>
      </c>
    </row>
    <row r="48" spans="1:28" ht="15.75" customHeight="1">
      <c r="A48" s="1" t="s">
        <v>51</v>
      </c>
      <c r="B48" s="52">
        <v>207056</v>
      </c>
      <c r="AA48" s="1" t="s">
        <v>51</v>
      </c>
      <c r="AB48" s="1">
        <v>207056</v>
      </c>
    </row>
    <row r="49" spans="1:28" ht="15.75" customHeight="1">
      <c r="A49" s="1" t="s">
        <v>52</v>
      </c>
      <c r="B49" s="52">
        <v>240681</v>
      </c>
      <c r="AA49" s="1" t="s">
        <v>52</v>
      </c>
      <c r="AB49" s="1">
        <v>240681</v>
      </c>
    </row>
    <row r="50" spans="1:28" ht="15.75" customHeight="1">
      <c r="A50" s="1" t="s">
        <v>53</v>
      </c>
      <c r="B50" s="52">
        <v>245404</v>
      </c>
      <c r="AA50" s="1" t="s">
        <v>53</v>
      </c>
      <c r="AB50" s="1">
        <v>245404</v>
      </c>
    </row>
    <row r="51" spans="1:28" ht="15.75" customHeight="1">
      <c r="A51" s="1" t="s">
        <v>54</v>
      </c>
      <c r="B51" s="52">
        <v>263249</v>
      </c>
      <c r="AA51" s="1" t="s">
        <v>54</v>
      </c>
      <c r="AB51" s="1">
        <v>263249</v>
      </c>
    </row>
    <row r="52" spans="1:28" ht="15.75" customHeight="1">
      <c r="A52" s="1" t="s">
        <v>55</v>
      </c>
      <c r="B52" s="52">
        <v>239088</v>
      </c>
      <c r="AA52" s="1" t="s">
        <v>55</v>
      </c>
      <c r="AB52" s="1">
        <v>239088</v>
      </c>
    </row>
    <row r="53" spans="1:28" ht="15.75" customHeight="1">
      <c r="A53" s="1" t="s">
        <v>56</v>
      </c>
      <c r="B53" s="52">
        <v>225008</v>
      </c>
      <c r="AA53" s="1" t="s">
        <v>56</v>
      </c>
      <c r="AB53" s="1">
        <v>225008</v>
      </c>
    </row>
    <row r="54" spans="1:28" ht="15.75" customHeight="1">
      <c r="A54" s="1" t="s">
        <v>57</v>
      </c>
      <c r="B54" s="52">
        <v>235113</v>
      </c>
      <c r="AA54" s="1" t="s">
        <v>57</v>
      </c>
      <c r="AB54" s="1">
        <v>235113</v>
      </c>
    </row>
    <row r="55" spans="1:28" ht="15.75" customHeight="1">
      <c r="A55" s="1" t="s">
        <v>58</v>
      </c>
      <c r="B55" s="53">
        <v>225827</v>
      </c>
      <c r="AA55" s="1" t="s">
        <v>58</v>
      </c>
      <c r="AB55" s="1">
        <v>225827</v>
      </c>
    </row>
    <row r="56" spans="1:28" ht="15.75" customHeight="1">
      <c r="A56" s="1" t="s">
        <v>59</v>
      </c>
      <c r="B56" s="52">
        <v>232737</v>
      </c>
      <c r="AA56" s="1" t="s">
        <v>59</v>
      </c>
      <c r="AB56" s="1">
        <v>232737</v>
      </c>
    </row>
    <row r="57" spans="1:28" ht="15.75" customHeight="1">
      <c r="A57" s="1" t="s">
        <v>60</v>
      </c>
      <c r="B57" s="52">
        <v>243955</v>
      </c>
      <c r="AA57" s="1" t="s">
        <v>60</v>
      </c>
      <c r="AB57" s="1">
        <v>243955</v>
      </c>
    </row>
    <row r="58" spans="1:28" ht="15.75" customHeight="1">
      <c r="A58" s="1" t="s">
        <v>61</v>
      </c>
      <c r="B58" s="52">
        <v>277968</v>
      </c>
      <c r="AA58" s="1" t="s">
        <v>61</v>
      </c>
      <c r="AB58" s="1">
        <v>277968</v>
      </c>
    </row>
    <row r="59" spans="1:28" ht="15.75" customHeight="1">
      <c r="A59" s="1" t="s">
        <v>62</v>
      </c>
      <c r="B59" s="52">
        <v>281354</v>
      </c>
      <c r="AA59" s="1" t="s">
        <v>62</v>
      </c>
      <c r="AB59" s="1">
        <v>281354</v>
      </c>
    </row>
    <row r="60" spans="1:28" ht="15.75" customHeight="1">
      <c r="A60" s="1" t="s">
        <v>63</v>
      </c>
      <c r="B60" s="52">
        <v>232006</v>
      </c>
      <c r="AA60" s="1" t="s">
        <v>63</v>
      </c>
      <c r="AB60" s="1">
        <v>232006</v>
      </c>
    </row>
    <row r="61" spans="1:28" ht="15.75" customHeight="1">
      <c r="A61" s="1" t="s">
        <v>64</v>
      </c>
      <c r="B61" s="52">
        <v>251613</v>
      </c>
      <c r="AA61" s="1" t="s">
        <v>64</v>
      </c>
      <c r="AB61" s="1">
        <v>251613</v>
      </c>
    </row>
    <row r="62" spans="1:28" ht="15.75" customHeight="1">
      <c r="A62" s="1" t="s">
        <v>65</v>
      </c>
      <c r="B62" s="52">
        <v>257389</v>
      </c>
      <c r="AA62" s="1" t="s">
        <v>65</v>
      </c>
      <c r="AB62" s="1">
        <v>257389</v>
      </c>
    </row>
    <row r="63" spans="1:28" ht="15.75" customHeight="1">
      <c r="A63" s="1" t="s">
        <v>66</v>
      </c>
      <c r="B63" s="53">
        <v>254632</v>
      </c>
      <c r="AA63" s="1" t="s">
        <v>66</v>
      </c>
      <c r="AB63" s="1">
        <v>254632</v>
      </c>
    </row>
    <row r="64" spans="1:28" ht="15.75" customHeight="1">
      <c r="A64" s="1" t="s">
        <v>67</v>
      </c>
      <c r="B64" s="53">
        <v>232164</v>
      </c>
      <c r="AA64" s="1" t="s">
        <v>67</v>
      </c>
      <c r="AB64" s="1">
        <v>232164</v>
      </c>
    </row>
    <row r="65" spans="1:28" ht="15.75" customHeight="1">
      <c r="A65" s="1" t="s">
        <v>68</v>
      </c>
      <c r="B65" s="53">
        <v>212591</v>
      </c>
      <c r="AA65" s="1" t="s">
        <v>68</v>
      </c>
      <c r="AB65" s="1">
        <v>212591</v>
      </c>
    </row>
    <row r="66" spans="1:28" ht="15.75" customHeight="1">
      <c r="A66" s="1" t="s">
        <v>69</v>
      </c>
      <c r="B66" s="52">
        <v>242272</v>
      </c>
      <c r="AA66" s="1" t="s">
        <v>69</v>
      </c>
      <c r="AB66" s="1">
        <v>242272</v>
      </c>
    </row>
    <row r="67" spans="1:28" ht="15.75" customHeight="1">
      <c r="A67" s="1" t="s">
        <v>70</v>
      </c>
      <c r="B67" s="52">
        <v>226610</v>
      </c>
      <c r="AA67" s="1" t="s">
        <v>70</v>
      </c>
      <c r="AB67" s="1">
        <v>226610</v>
      </c>
    </row>
    <row r="68" spans="1:28" ht="15.75" customHeight="1">
      <c r="A68" s="1" t="s">
        <v>71</v>
      </c>
      <c r="B68" s="52">
        <v>236720</v>
      </c>
      <c r="AA68" s="1" t="s">
        <v>71</v>
      </c>
      <c r="AB68" s="1">
        <v>236720</v>
      </c>
    </row>
    <row r="69" spans="1:28" ht="15.75" customHeight="1">
      <c r="A69" s="1" t="s">
        <v>72</v>
      </c>
      <c r="B69" s="53">
        <v>227843</v>
      </c>
      <c r="AA69" s="1" t="s">
        <v>72</v>
      </c>
      <c r="AB69" s="1">
        <v>227843</v>
      </c>
    </row>
    <row r="70" spans="1:28" ht="15.75" customHeight="1">
      <c r="A70" s="1" t="s">
        <v>73</v>
      </c>
      <c r="B70" s="53">
        <v>249891</v>
      </c>
      <c r="AA70" s="1" t="s">
        <v>73</v>
      </c>
      <c r="AB70" s="1">
        <v>249891</v>
      </c>
    </row>
    <row r="71" spans="1:28" ht="15.75" customHeight="1">
      <c r="A71" s="1" t="s">
        <v>74</v>
      </c>
      <c r="B71" s="53">
        <v>263236</v>
      </c>
      <c r="AA71" s="1" t="s">
        <v>74</v>
      </c>
      <c r="AB71" s="1">
        <v>263236</v>
      </c>
    </row>
    <row r="72" spans="1:28" ht="15.75" customHeight="1">
      <c r="A72" s="1" t="s">
        <v>75</v>
      </c>
      <c r="B72" s="53">
        <v>230076</v>
      </c>
      <c r="AA72" s="1" t="s">
        <v>75</v>
      </c>
      <c r="AB72" s="1">
        <v>230076</v>
      </c>
    </row>
    <row r="73" spans="1:28" ht="15.75" customHeight="1">
      <c r="A73" s="1" t="s">
        <v>76</v>
      </c>
      <c r="B73" s="53">
        <v>240012</v>
      </c>
      <c r="AA73" s="1" t="s">
        <v>76</v>
      </c>
      <c r="AB73" s="1">
        <v>240012</v>
      </c>
    </row>
    <row r="74" spans="1:28" ht="15.75" customHeight="1">
      <c r="A74" s="1" t="s">
        <v>77</v>
      </c>
      <c r="B74" s="53">
        <v>237223</v>
      </c>
      <c r="AA74" s="1" t="s">
        <v>77</v>
      </c>
      <c r="AB74" s="1">
        <v>237223</v>
      </c>
    </row>
    <row r="75" spans="1:28" ht="15.75" customHeight="1">
      <c r="A75" s="1" t="s">
        <v>78</v>
      </c>
      <c r="B75" s="52">
        <v>254939</v>
      </c>
      <c r="AA75" s="1" t="s">
        <v>78</v>
      </c>
      <c r="AB75" s="1">
        <v>254939</v>
      </c>
    </row>
    <row r="76" spans="1:28" ht="15.75" customHeight="1">
      <c r="A76" s="1" t="s">
        <v>79</v>
      </c>
      <c r="B76" s="52">
        <v>233863</v>
      </c>
      <c r="AA76" s="1" t="s">
        <v>79</v>
      </c>
      <c r="AB76" s="1">
        <v>233863</v>
      </c>
    </row>
    <row r="77" spans="1:28" ht="15.75" customHeight="1">
      <c r="A77" s="1" t="s">
        <v>80</v>
      </c>
      <c r="B77" s="52">
        <v>221968</v>
      </c>
      <c r="AA77" s="1" t="s">
        <v>80</v>
      </c>
      <c r="AB77" s="1">
        <v>221968</v>
      </c>
    </row>
    <row r="78" spans="1:28" ht="15.75" customHeight="1">
      <c r="A78" s="1" t="s">
        <v>81</v>
      </c>
      <c r="B78" s="53">
        <v>239414</v>
      </c>
      <c r="AA78" s="1" t="s">
        <v>81</v>
      </c>
      <c r="AB78" s="1">
        <v>239414</v>
      </c>
    </row>
    <row r="79" spans="1:28" ht="15.75" customHeight="1">
      <c r="A79" s="1" t="s">
        <v>82</v>
      </c>
      <c r="B79" s="52">
        <v>245480</v>
      </c>
      <c r="AA79" s="1" t="s">
        <v>82</v>
      </c>
      <c r="AB79" s="1">
        <v>245480</v>
      </c>
    </row>
    <row r="80" spans="1:28" ht="15.75" customHeight="1">
      <c r="A80" s="1" t="s">
        <v>83</v>
      </c>
      <c r="B80" s="52">
        <v>248953</v>
      </c>
      <c r="AA80" s="1" t="s">
        <v>83</v>
      </c>
      <c r="AB80" s="1">
        <v>248953</v>
      </c>
    </row>
    <row r="81" spans="1:28" ht="15.75" customHeight="1">
      <c r="A81" s="1" t="s">
        <v>84</v>
      </c>
      <c r="B81" s="52">
        <v>240184</v>
      </c>
      <c r="AA81" s="1" t="s">
        <v>84</v>
      </c>
      <c r="AB81" s="1">
        <v>240184</v>
      </c>
    </row>
    <row r="82" spans="1:28" ht="15.75" customHeight="1">
      <c r="A82" s="1" t="s">
        <v>85</v>
      </c>
      <c r="B82" s="52">
        <v>261402</v>
      </c>
      <c r="AA82" s="1" t="s">
        <v>85</v>
      </c>
      <c r="AB82" s="1">
        <v>261402</v>
      </c>
    </row>
    <row r="83" spans="1:28" ht="15.75" customHeight="1">
      <c r="A83" s="1" t="s">
        <v>86</v>
      </c>
      <c r="B83" s="52">
        <v>282186</v>
      </c>
      <c r="AA83" s="1" t="s">
        <v>86</v>
      </c>
      <c r="AB83" s="1">
        <v>282186</v>
      </c>
    </row>
    <row r="84" spans="1:28" ht="15.75" customHeight="1">
      <c r="A84" s="1" t="s">
        <v>87</v>
      </c>
      <c r="B84" s="52">
        <v>239438</v>
      </c>
      <c r="AA84" s="1" t="s">
        <v>87</v>
      </c>
      <c r="AB84" s="1">
        <v>239438</v>
      </c>
    </row>
    <row r="85" spans="1:28" ht="15.75" customHeight="1">
      <c r="A85" s="1" t="s">
        <v>88</v>
      </c>
      <c r="B85" s="52">
        <v>257737</v>
      </c>
      <c r="AA85" s="1" t="s">
        <v>88</v>
      </c>
      <c r="AB85" s="1">
        <v>257737</v>
      </c>
    </row>
    <row r="86" spans="1:28" ht="15.75" customHeight="1">
      <c r="A86" s="1" t="s">
        <v>89</v>
      </c>
      <c r="B86" s="52">
        <v>248137</v>
      </c>
      <c r="AA86" s="1" t="s">
        <v>89</v>
      </c>
      <c r="AB86" s="1">
        <v>248137</v>
      </c>
    </row>
    <row r="87" spans="1:28" ht="15.75" customHeight="1">
      <c r="A87" s="1" t="s">
        <v>90</v>
      </c>
      <c r="B87" s="52">
        <v>272668</v>
      </c>
      <c r="AA87" s="1" t="s">
        <v>90</v>
      </c>
      <c r="AB87" s="1">
        <v>272668</v>
      </c>
    </row>
    <row r="88" spans="1:28" ht="15.75" customHeight="1">
      <c r="A88" s="1" t="s">
        <v>91</v>
      </c>
      <c r="B88" s="52">
        <v>248446</v>
      </c>
      <c r="AA88" s="1" t="s">
        <v>91</v>
      </c>
      <c r="AB88" s="1">
        <v>248446</v>
      </c>
    </row>
    <row r="89" spans="1:28" ht="15.75" customHeight="1">
      <c r="A89" s="1" t="s">
        <v>92</v>
      </c>
      <c r="B89" s="52">
        <v>230830</v>
      </c>
      <c r="AA89" s="1" t="s">
        <v>92</v>
      </c>
      <c r="AB89" s="1">
        <v>230830</v>
      </c>
    </row>
    <row r="90" spans="1:28" ht="15.75" customHeight="1">
      <c r="A90" s="1" t="s">
        <v>93</v>
      </c>
      <c r="B90" s="52">
        <v>262117</v>
      </c>
      <c r="AA90" s="1" t="s">
        <v>93</v>
      </c>
      <c r="AB90" s="1">
        <v>262117</v>
      </c>
    </row>
    <row r="91" spans="1:28" ht="15.75" customHeight="1">
      <c r="A91" s="1" t="s">
        <v>94</v>
      </c>
      <c r="B91" s="53">
        <v>237011</v>
      </c>
      <c r="AA91" s="1" t="s">
        <v>94</v>
      </c>
      <c r="AB91" s="1">
        <v>237011</v>
      </c>
    </row>
    <row r="92" spans="1:28" ht="15.75" customHeight="1">
      <c r="A92" s="1" t="s">
        <v>95</v>
      </c>
      <c r="B92" s="53">
        <v>244179</v>
      </c>
      <c r="AA92" s="1" t="s">
        <v>95</v>
      </c>
      <c r="AB92" s="1">
        <v>244179</v>
      </c>
    </row>
    <row r="93" spans="1:28" ht="15.75" customHeight="1">
      <c r="A93" s="1" t="s">
        <v>96</v>
      </c>
      <c r="B93" s="52">
        <v>247225</v>
      </c>
      <c r="AA93" s="1" t="s">
        <v>96</v>
      </c>
      <c r="AB93" s="1">
        <v>247225</v>
      </c>
    </row>
    <row r="94" spans="1:28" ht="15.75" customHeight="1">
      <c r="A94" s="1" t="s">
        <v>97</v>
      </c>
      <c r="B94" s="52">
        <v>264253</v>
      </c>
      <c r="AA94" s="1" t="s">
        <v>97</v>
      </c>
      <c r="AB94" s="1">
        <v>264253</v>
      </c>
    </row>
    <row r="95" spans="1:28" ht="15.75" customHeight="1">
      <c r="A95" s="1" t="s">
        <v>98</v>
      </c>
      <c r="B95" s="53">
        <v>279252</v>
      </c>
      <c r="AA95" s="1" t="s">
        <v>98</v>
      </c>
      <c r="AB95" s="1">
        <v>279252</v>
      </c>
    </row>
    <row r="96" spans="1:28" ht="15.75" customHeight="1">
      <c r="A96" s="1" t="s">
        <v>99</v>
      </c>
      <c r="B96" s="52">
        <v>240007</v>
      </c>
      <c r="AA96" s="1" t="s">
        <v>99</v>
      </c>
      <c r="AB96" s="1">
        <v>240007</v>
      </c>
    </row>
    <row r="97" spans="1:28" ht="15.75" customHeight="1">
      <c r="A97" s="1" t="s">
        <v>100</v>
      </c>
      <c r="B97" s="53">
        <v>249802</v>
      </c>
      <c r="AA97" s="1" t="s">
        <v>100</v>
      </c>
      <c r="AB97" s="1">
        <v>249802</v>
      </c>
    </row>
    <row r="98" spans="1:28" ht="15.75" customHeight="1">
      <c r="A98" s="1" t="s">
        <v>101</v>
      </c>
      <c r="B98" s="52">
        <v>250465</v>
      </c>
      <c r="AA98" s="1" t="s">
        <v>101</v>
      </c>
      <c r="AB98" s="1">
        <v>250465</v>
      </c>
    </row>
    <row r="99" spans="1:28" ht="15.75" customHeight="1">
      <c r="A99" s="1" t="s">
        <v>102</v>
      </c>
      <c r="B99" s="52">
        <v>277383</v>
      </c>
      <c r="AA99" s="1" t="s">
        <v>102</v>
      </c>
      <c r="AB99" s="1">
        <v>277383</v>
      </c>
    </row>
    <row r="100" spans="1:28" ht="15.75" customHeight="1">
      <c r="A100" s="1" t="s">
        <v>103</v>
      </c>
      <c r="B100" s="52">
        <v>262351</v>
      </c>
      <c r="AA100" s="1" t="s">
        <v>103</v>
      </c>
      <c r="AB100" s="1">
        <v>262351</v>
      </c>
    </row>
    <row r="101" spans="1:28" ht="15.75" customHeight="1">
      <c r="A101" s="1" t="s">
        <v>104</v>
      </c>
      <c r="B101" s="52">
        <v>236979</v>
      </c>
      <c r="AA101" s="1" t="s">
        <v>104</v>
      </c>
      <c r="AB101" s="1">
        <v>236979</v>
      </c>
    </row>
    <row r="102" spans="1:28" ht="15.75" customHeight="1">
      <c r="A102" s="1" t="s">
        <v>105</v>
      </c>
      <c r="B102" s="53">
        <v>260497</v>
      </c>
      <c r="AA102" s="1" t="s">
        <v>105</v>
      </c>
      <c r="AB102" s="1">
        <v>260497</v>
      </c>
    </row>
    <row r="103" spans="1:28" ht="15.75" customHeight="1">
      <c r="A103" s="1" t="s">
        <v>106</v>
      </c>
      <c r="B103" s="52">
        <v>245614</v>
      </c>
      <c r="AA103" s="1" t="s">
        <v>106</v>
      </c>
      <c r="AB103" s="1">
        <v>245614</v>
      </c>
    </row>
    <row r="104" spans="1:28" ht="15.75" customHeight="1">
      <c r="A104" s="1" t="s">
        <v>107</v>
      </c>
      <c r="B104" s="52">
        <v>248171</v>
      </c>
      <c r="AA104" s="1" t="s">
        <v>107</v>
      </c>
      <c r="AB104" s="1">
        <v>248171</v>
      </c>
    </row>
    <row r="105" spans="1:28" ht="15.75" customHeight="1">
      <c r="A105" s="1" t="s">
        <v>108</v>
      </c>
      <c r="B105" s="52">
        <v>257252</v>
      </c>
      <c r="AA105" s="1" t="s">
        <v>108</v>
      </c>
      <c r="AB105" s="1">
        <v>257252</v>
      </c>
    </row>
    <row r="106" spans="1:28" ht="15.75" customHeight="1">
      <c r="A106" s="1" t="s">
        <v>109</v>
      </c>
      <c r="B106" s="52">
        <v>275976</v>
      </c>
      <c r="AA106" s="1" t="s">
        <v>109</v>
      </c>
      <c r="AB106" s="1">
        <v>275976</v>
      </c>
    </row>
    <row r="107" spans="1:28" ht="15.75" customHeight="1">
      <c r="A107" s="1" t="s">
        <v>110</v>
      </c>
      <c r="B107" s="52">
        <v>304666</v>
      </c>
      <c r="AA107" s="1" t="s">
        <v>110</v>
      </c>
      <c r="AB107" s="1">
        <v>304666</v>
      </c>
    </row>
    <row r="108" spans="1:28" ht="15.75" customHeight="1">
      <c r="A108" s="1" t="s">
        <v>111</v>
      </c>
      <c r="B108" s="52">
        <v>259582</v>
      </c>
      <c r="AA108" s="1" t="s">
        <v>111</v>
      </c>
      <c r="AB108" s="1">
        <v>259582</v>
      </c>
    </row>
    <row r="109" spans="1:28" ht="15.75" customHeight="1">
      <c r="A109" s="1" t="s">
        <v>112</v>
      </c>
      <c r="B109" s="52">
        <v>275773</v>
      </c>
      <c r="AA109" s="1" t="s">
        <v>112</v>
      </c>
      <c r="AB109" s="1">
        <v>275773</v>
      </c>
    </row>
    <row r="110" spans="1:28" ht="15.75" customHeight="1">
      <c r="A110" s="1" t="s">
        <v>113</v>
      </c>
      <c r="B110" s="52">
        <v>266980</v>
      </c>
      <c r="AA110" s="1" t="s">
        <v>113</v>
      </c>
      <c r="AB110" s="1">
        <v>266980</v>
      </c>
    </row>
    <row r="111" spans="1:28" ht="15.75" customHeight="1">
      <c r="A111" s="1" t="s">
        <v>114</v>
      </c>
      <c r="B111" s="52">
        <v>297217</v>
      </c>
      <c r="AA111" s="1" t="s">
        <v>114</v>
      </c>
      <c r="AB111" s="1">
        <v>297217</v>
      </c>
    </row>
    <row r="112" spans="1:28" ht="15.75" customHeight="1">
      <c r="A112" s="1" t="s">
        <v>115</v>
      </c>
      <c r="B112" s="52">
        <v>284588</v>
      </c>
      <c r="AA112" s="1" t="s">
        <v>115</v>
      </c>
      <c r="AB112" s="1">
        <v>284588</v>
      </c>
    </row>
    <row r="113" spans="1:28" ht="15.75" customHeight="1">
      <c r="A113" s="1" t="s">
        <v>116</v>
      </c>
      <c r="B113" s="52">
        <v>273405</v>
      </c>
      <c r="AA113" s="1" t="s">
        <v>116</v>
      </c>
      <c r="AB113" s="1">
        <v>273405</v>
      </c>
    </row>
    <row r="114" spans="1:28" ht="15.75" customHeight="1">
      <c r="A114" s="1" t="s">
        <v>117</v>
      </c>
      <c r="B114" s="52">
        <v>293774</v>
      </c>
      <c r="AA114" s="1" t="s">
        <v>117</v>
      </c>
      <c r="AB114" s="1">
        <v>293774</v>
      </c>
    </row>
    <row r="115" spans="1:28" ht="15.75" customHeight="1">
      <c r="A115" s="1" t="s">
        <v>118</v>
      </c>
      <c r="B115" s="52">
        <v>287663</v>
      </c>
      <c r="AA115" s="1" t="s">
        <v>118</v>
      </c>
      <c r="AB115" s="1">
        <v>287663</v>
      </c>
    </row>
    <row r="116" spans="1:28" ht="15.75" customHeight="1">
      <c r="A116" s="1" t="s">
        <v>119</v>
      </c>
      <c r="B116" s="52">
        <v>291469</v>
      </c>
      <c r="AA116" s="1" t="s">
        <v>119</v>
      </c>
      <c r="AB116" s="1">
        <v>291469</v>
      </c>
    </row>
    <row r="117" spans="1:28" ht="15.75" customHeight="1">
      <c r="A117" s="1" t="s">
        <v>120</v>
      </c>
      <c r="B117" s="52">
        <v>283828</v>
      </c>
      <c r="AA117" s="1" t="s">
        <v>120</v>
      </c>
      <c r="AB117" s="1">
        <v>283828</v>
      </c>
    </row>
    <row r="118" spans="1:28" ht="15.75" customHeight="1">
      <c r="A118" s="1" t="s">
        <v>121</v>
      </c>
      <c r="B118" s="52">
        <v>342882</v>
      </c>
      <c r="AA118" s="1" t="s">
        <v>121</v>
      </c>
      <c r="AB118" s="1">
        <v>342882</v>
      </c>
    </row>
    <row r="119" spans="1:28" ht="15.75" customHeight="1">
      <c r="A119" s="1" t="s">
        <v>122</v>
      </c>
      <c r="B119" s="52">
        <v>353788</v>
      </c>
      <c r="AA119" s="1" t="s">
        <v>122</v>
      </c>
      <c r="AB119" s="1">
        <v>353788</v>
      </c>
    </row>
    <row r="120" spans="1:28" ht="15.75" customHeight="1">
      <c r="A120" s="1" t="s">
        <v>123</v>
      </c>
      <c r="B120" s="52">
        <v>302983</v>
      </c>
      <c r="AA120" s="1" t="s">
        <v>123</v>
      </c>
      <c r="AB120" s="1">
        <v>302983</v>
      </c>
    </row>
    <row r="121" spans="1:28" ht="15.75" customHeight="1">
      <c r="A121" s="1" t="s">
        <v>124</v>
      </c>
      <c r="B121" s="52">
        <v>315112</v>
      </c>
      <c r="AA121" s="1" t="s">
        <v>124</v>
      </c>
      <c r="AB121" s="1">
        <v>315112</v>
      </c>
    </row>
    <row r="122" spans="1:28" ht="15.75" customHeight="1">
      <c r="A122" s="1" t="s">
        <v>125</v>
      </c>
      <c r="B122" s="52">
        <v>307067</v>
      </c>
      <c r="AA122" s="1" t="s">
        <v>125</v>
      </c>
      <c r="AB122" s="1">
        <v>307067</v>
      </c>
    </row>
    <row r="123" spans="1:28" ht="15.75" customHeight="1">
      <c r="A123" s="1" t="s">
        <v>126</v>
      </c>
      <c r="B123" s="52">
        <v>342250</v>
      </c>
      <c r="AA123" s="1" t="s">
        <v>126</v>
      </c>
      <c r="AB123" s="1">
        <v>342250</v>
      </c>
    </row>
    <row r="124" spans="1:28" ht="15.75" customHeight="1">
      <c r="A124" s="1" t="s">
        <v>127</v>
      </c>
      <c r="B124" s="52">
        <v>328447</v>
      </c>
      <c r="AA124" s="1" t="s">
        <v>127</v>
      </c>
      <c r="AB124" s="1">
        <v>328447</v>
      </c>
    </row>
    <row r="125" spans="1:28" ht="15.75" customHeight="1">
      <c r="A125" s="1" t="s">
        <v>128</v>
      </c>
      <c r="B125" s="52">
        <v>312406</v>
      </c>
      <c r="AA125" s="1" t="s">
        <v>128</v>
      </c>
      <c r="AB125" s="1">
        <v>312406</v>
      </c>
    </row>
    <row r="126" spans="1:28" ht="15.75" customHeight="1">
      <c r="A126" s="1" t="s">
        <v>129</v>
      </c>
      <c r="B126" s="52">
        <v>347373</v>
      </c>
      <c r="AA126" s="1" t="s">
        <v>129</v>
      </c>
      <c r="AB126" s="1">
        <v>347373</v>
      </c>
    </row>
    <row r="127" spans="1:28" ht="15.75" customHeight="1">
      <c r="A127" s="1" t="s">
        <v>130</v>
      </c>
      <c r="B127" s="52">
        <v>331647</v>
      </c>
      <c r="AA127" s="1" t="s">
        <v>130</v>
      </c>
      <c r="AB127" s="1">
        <v>331647</v>
      </c>
    </row>
    <row r="128" spans="1:28" ht="15.75" customHeight="1">
      <c r="A128" s="1" t="s">
        <v>131</v>
      </c>
      <c r="B128" s="52">
        <v>318454</v>
      </c>
      <c r="AA128" s="1" t="s">
        <v>131</v>
      </c>
      <c r="AB128" s="1">
        <v>318454</v>
      </c>
    </row>
    <row r="129" spans="1:28" ht="15.75" customHeight="1">
      <c r="A129" s="1" t="s">
        <v>132</v>
      </c>
      <c r="B129" s="52">
        <v>319362</v>
      </c>
      <c r="AA129" s="1" t="s">
        <v>132</v>
      </c>
      <c r="AB129" s="1">
        <v>319362</v>
      </c>
    </row>
    <row r="130" spans="1:28" ht="15.75" customHeight="1">
      <c r="A130" s="1" t="s">
        <v>133</v>
      </c>
      <c r="B130" s="52">
        <v>377985</v>
      </c>
      <c r="AA130" s="1" t="s">
        <v>133</v>
      </c>
      <c r="AB130" s="1">
        <v>377985</v>
      </c>
    </row>
    <row r="131" spans="1:28" ht="15.75" customHeight="1">
      <c r="A131" s="1" t="s">
        <v>134</v>
      </c>
      <c r="B131" s="52">
        <v>388077</v>
      </c>
      <c r="AA131" s="1" t="s">
        <v>134</v>
      </c>
      <c r="AB131" s="1">
        <v>388077</v>
      </c>
    </row>
    <row r="132" spans="1:28" ht="15.75" customHeight="1">
      <c r="A132" s="1" t="s">
        <v>135</v>
      </c>
      <c r="B132" s="52">
        <v>341254</v>
      </c>
      <c r="AA132" s="1" t="s">
        <v>135</v>
      </c>
      <c r="AB132" s="1">
        <v>341254</v>
      </c>
    </row>
    <row r="133" spans="1:28" ht="15.75" customHeight="1">
      <c r="A133" s="1" t="s">
        <v>136</v>
      </c>
      <c r="B133" s="52">
        <v>365581</v>
      </c>
      <c r="AA133" s="1" t="s">
        <v>136</v>
      </c>
      <c r="AB133" s="1">
        <v>365581</v>
      </c>
    </row>
    <row r="134" spans="1:28" ht="15.75" customHeight="1">
      <c r="A134" s="1" t="s">
        <v>137</v>
      </c>
      <c r="B134" s="52">
        <v>361734</v>
      </c>
      <c r="AA134" s="1" t="s">
        <v>137</v>
      </c>
      <c r="AB134" s="1">
        <v>361734</v>
      </c>
    </row>
    <row r="135" spans="1:28" ht="15.75" customHeight="1">
      <c r="A135" s="1" t="s">
        <v>138</v>
      </c>
      <c r="B135" s="52">
        <v>393771</v>
      </c>
      <c r="AA135" s="1" t="s">
        <v>138</v>
      </c>
      <c r="AB135" s="1">
        <v>393771</v>
      </c>
    </row>
    <row r="136" spans="1:28" ht="15.75" customHeight="1">
      <c r="A136" s="1" t="s">
        <v>139</v>
      </c>
      <c r="B136" s="52">
        <v>380096</v>
      </c>
      <c r="AA136" s="1" t="s">
        <v>139</v>
      </c>
      <c r="AB136" s="1">
        <v>380096</v>
      </c>
    </row>
    <row r="137" spans="1:28" ht="15.75" customHeight="1">
      <c r="A137" s="1" t="s">
        <v>140</v>
      </c>
      <c r="B137" s="52">
        <v>353789</v>
      </c>
      <c r="AA137" s="1" t="s">
        <v>140</v>
      </c>
      <c r="AB137" s="1">
        <v>353789</v>
      </c>
    </row>
    <row r="138" spans="1:28" ht="15.75" customHeight="1">
      <c r="A138" s="1" t="s">
        <v>141</v>
      </c>
      <c r="B138" s="52">
        <v>404795</v>
      </c>
      <c r="AA138" s="1" t="s">
        <v>141</v>
      </c>
      <c r="AB138" s="1">
        <v>404795</v>
      </c>
    </row>
    <row r="139" spans="1:28" ht="15.75" customHeight="1">
      <c r="A139" s="1" t="s">
        <v>142</v>
      </c>
      <c r="B139" s="52">
        <v>375679</v>
      </c>
      <c r="AA139" s="1" t="s">
        <v>142</v>
      </c>
      <c r="AB139" s="1">
        <v>375679</v>
      </c>
    </row>
    <row r="140" spans="1:28" ht="15.75" customHeight="1">
      <c r="A140" s="1" t="s">
        <v>143</v>
      </c>
      <c r="B140" s="52">
        <v>362982</v>
      </c>
      <c r="AA140" s="1" t="s">
        <v>143</v>
      </c>
      <c r="AB140" s="1">
        <v>362982</v>
      </c>
    </row>
    <row r="141" spans="1:28" ht="15.75" customHeight="1">
      <c r="A141" s="1" t="s">
        <v>144</v>
      </c>
      <c r="B141" s="52">
        <v>367275</v>
      </c>
      <c r="AA141" s="1" t="s">
        <v>144</v>
      </c>
      <c r="AB141" s="1">
        <v>367275</v>
      </c>
    </row>
    <row r="142" spans="1:28" ht="15.75" customHeight="1">
      <c r="A142" s="1" t="s">
        <v>145</v>
      </c>
      <c r="B142" s="52">
        <v>435972</v>
      </c>
      <c r="AA142" s="1" t="s">
        <v>145</v>
      </c>
      <c r="AB142" s="1">
        <v>435972</v>
      </c>
    </row>
    <row r="143" spans="1:28" ht="15.75" customHeight="1">
      <c r="A143" s="1" t="s">
        <v>146</v>
      </c>
      <c r="B143" s="52">
        <v>443375</v>
      </c>
      <c r="AA143" s="1" t="s">
        <v>146</v>
      </c>
      <c r="AB143" s="1">
        <v>443375</v>
      </c>
    </row>
    <row r="144" spans="1:28" ht="15.75" customHeight="1">
      <c r="A144" s="1" t="s">
        <v>147</v>
      </c>
      <c r="B144" s="52">
        <v>406340</v>
      </c>
      <c r="AA144" s="1" t="s">
        <v>147</v>
      </c>
      <c r="AB144" s="1">
        <v>406340</v>
      </c>
    </row>
    <row r="145" spans="1:28" ht="15.75" customHeight="1">
      <c r="A145" s="1" t="s">
        <v>148</v>
      </c>
      <c r="B145" s="52">
        <v>423336</v>
      </c>
      <c r="AA145" s="1" t="s">
        <v>148</v>
      </c>
      <c r="AB145" s="1">
        <v>423336</v>
      </c>
    </row>
    <row r="146" spans="1:28" ht="15.75" customHeight="1">
      <c r="A146" s="1" t="s">
        <v>149</v>
      </c>
      <c r="B146" s="52">
        <v>425918</v>
      </c>
      <c r="AA146" s="1" t="s">
        <v>149</v>
      </c>
      <c r="AB146" s="1">
        <v>425918</v>
      </c>
    </row>
    <row r="147" spans="1:28" ht="15.75" customHeight="1">
      <c r="A147" s="1" t="s">
        <v>150</v>
      </c>
      <c r="B147" s="52">
        <v>450000</v>
      </c>
      <c r="AA147" s="1" t="s">
        <v>150</v>
      </c>
      <c r="AB147" s="1">
        <v>450000</v>
      </c>
    </row>
    <row r="148" spans="1:28" ht="15.75" customHeight="1">
      <c r="A148" s="1" t="s">
        <v>151</v>
      </c>
      <c r="B148" s="52">
        <v>432993</v>
      </c>
      <c r="AA148" s="1" t="s">
        <v>151</v>
      </c>
      <c r="AB148" s="1">
        <v>432993</v>
      </c>
    </row>
    <row r="149" spans="1:28" ht="15.75" customHeight="1">
      <c r="A149" s="1" t="s">
        <v>152</v>
      </c>
      <c r="B149" s="52">
        <v>424670</v>
      </c>
      <c r="AA149" s="1" t="s">
        <v>152</v>
      </c>
      <c r="AB149" s="1">
        <v>424670</v>
      </c>
    </row>
    <row r="150" spans="1:28" ht="15.75" customHeight="1">
      <c r="A150" s="1" t="s">
        <v>153</v>
      </c>
      <c r="B150" s="52">
        <v>445528</v>
      </c>
      <c r="AA150" s="1" t="s">
        <v>153</v>
      </c>
      <c r="AB150" s="1">
        <v>445528</v>
      </c>
    </row>
    <row r="151" spans="1:28" ht="15.75" customHeight="1">
      <c r="A151" s="1" t="s">
        <v>154</v>
      </c>
      <c r="B151" s="52">
        <v>430272</v>
      </c>
      <c r="AA151" s="1" t="s">
        <v>154</v>
      </c>
      <c r="AB151" s="1">
        <v>430272</v>
      </c>
    </row>
    <row r="152" spans="1:28" ht="15.75" customHeight="1">
      <c r="A152" s="1" t="s">
        <v>155</v>
      </c>
      <c r="B152" s="52">
        <v>409797</v>
      </c>
      <c r="AA152" s="1" t="s">
        <v>155</v>
      </c>
      <c r="AB152" s="1">
        <v>409797</v>
      </c>
    </row>
    <row r="153" spans="1:28" ht="15.75" customHeight="1">
      <c r="A153" s="1" t="s">
        <v>156</v>
      </c>
      <c r="B153" s="52">
        <v>409635</v>
      </c>
      <c r="AA153" s="1" t="s">
        <v>156</v>
      </c>
      <c r="AB153" s="1">
        <v>409635</v>
      </c>
    </row>
    <row r="154" spans="1:28" ht="15.75" customHeight="1">
      <c r="A154" s="1" t="s">
        <v>157</v>
      </c>
      <c r="B154" s="52">
        <v>474861</v>
      </c>
      <c r="AA154" s="1" t="s">
        <v>157</v>
      </c>
      <c r="AB154" s="1">
        <v>474861</v>
      </c>
    </row>
    <row r="155" spans="1:28" ht="15.75" customHeight="1">
      <c r="A155" s="1" t="s">
        <v>158</v>
      </c>
      <c r="B155" s="52">
        <v>492544</v>
      </c>
      <c r="AA155" s="1" t="s">
        <v>158</v>
      </c>
      <c r="AB155" s="1">
        <v>492544</v>
      </c>
    </row>
    <row r="156" spans="1:28" ht="15.75" customHeight="1">
      <c r="A156" s="1" t="s">
        <v>159</v>
      </c>
      <c r="B156" s="52">
        <v>427523</v>
      </c>
      <c r="AA156" s="1" t="s">
        <v>159</v>
      </c>
      <c r="AB156" s="1">
        <v>427523</v>
      </c>
    </row>
    <row r="157" spans="1:28" ht="15.75" customHeight="1">
      <c r="A157" s="1" t="s">
        <v>160</v>
      </c>
      <c r="B157" s="52">
        <v>435281</v>
      </c>
      <c r="AA157" s="1" t="s">
        <v>160</v>
      </c>
      <c r="AB157" s="1">
        <v>435281</v>
      </c>
    </row>
    <row r="158" spans="1:28" ht="15.75" customHeight="1">
      <c r="A158" s="1" t="s">
        <v>161</v>
      </c>
      <c r="B158" s="52">
        <v>448573</v>
      </c>
      <c r="AA158" s="1" t="s">
        <v>161</v>
      </c>
      <c r="AB158" s="1">
        <v>448573</v>
      </c>
    </row>
    <row r="159" spans="1:28" ht="15.75" customHeight="1">
      <c r="A159" s="1" t="s">
        <v>162</v>
      </c>
      <c r="B159" s="52">
        <v>488768</v>
      </c>
      <c r="AA159" s="1" t="s">
        <v>162</v>
      </c>
      <c r="AB159" s="1">
        <v>488768</v>
      </c>
    </row>
    <row r="160" spans="1:28" ht="15.75" customHeight="1">
      <c r="A160" s="1" t="s">
        <v>163</v>
      </c>
      <c r="B160" s="53">
        <v>432267</v>
      </c>
      <c r="AA160" s="1" t="s">
        <v>163</v>
      </c>
      <c r="AB160" s="1">
        <v>432267</v>
      </c>
    </row>
    <row r="161" spans="1:28" ht="15.75" customHeight="1">
      <c r="A161" s="1" t="s">
        <v>164</v>
      </c>
      <c r="B161" s="53">
        <v>363536</v>
      </c>
      <c r="AA161" s="1" t="s">
        <v>164</v>
      </c>
      <c r="AB161" s="1">
        <v>363536</v>
      </c>
    </row>
    <row r="162" spans="1:28" ht="15.75" customHeight="1">
      <c r="A162" s="1" t="s">
        <v>165</v>
      </c>
      <c r="B162" s="53">
        <v>403287</v>
      </c>
      <c r="AA162" s="1" t="s">
        <v>165</v>
      </c>
      <c r="AB162" s="1">
        <v>403287</v>
      </c>
    </row>
    <row r="163" spans="1:28" ht="15.75" customHeight="1">
      <c r="A163" s="1" t="s">
        <v>166</v>
      </c>
      <c r="B163" s="53">
        <v>418722</v>
      </c>
      <c r="AA163" s="1" t="s">
        <v>166</v>
      </c>
      <c r="AB163" s="1">
        <v>418722</v>
      </c>
    </row>
    <row r="164" spans="1:28" ht="15.75" customHeight="1">
      <c r="A164" s="1" t="s">
        <v>167</v>
      </c>
      <c r="B164" s="52">
        <v>411284</v>
      </c>
      <c r="AA164" s="1" t="s">
        <v>167</v>
      </c>
      <c r="AB164" s="1">
        <v>411284</v>
      </c>
    </row>
    <row r="165" spans="1:28" ht="15.75" customHeight="1">
      <c r="A165" s="1" t="s">
        <v>168</v>
      </c>
      <c r="B165" s="52">
        <v>445771</v>
      </c>
      <c r="AA165" s="1" t="s">
        <v>168</v>
      </c>
      <c r="AB165" s="1">
        <v>445771</v>
      </c>
    </row>
    <row r="166" spans="1:28" ht="15.75" customHeight="1">
      <c r="A166" s="1" t="s">
        <v>169</v>
      </c>
      <c r="B166" s="52">
        <v>494626</v>
      </c>
      <c r="AA166" s="1" t="s">
        <v>169</v>
      </c>
      <c r="AB166" s="1">
        <v>494626</v>
      </c>
    </row>
    <row r="167" spans="1:28" ht="15.75" customHeight="1">
      <c r="A167" s="1" t="s">
        <v>170</v>
      </c>
      <c r="B167" s="52">
        <v>519640</v>
      </c>
      <c r="AA167" s="1" t="s">
        <v>170</v>
      </c>
      <c r="AB167" s="1">
        <v>519640</v>
      </c>
    </row>
    <row r="168" spans="1:28" ht="15.75" customHeight="1">
      <c r="A168" s="1" t="s">
        <v>171</v>
      </c>
      <c r="B168" s="52">
        <v>459836</v>
      </c>
      <c r="AA168" s="1" t="s">
        <v>171</v>
      </c>
      <c r="AB168" s="1">
        <v>459836</v>
      </c>
    </row>
    <row r="169" spans="1:28" ht="15.75" customHeight="1">
      <c r="A169" s="1" t="s">
        <v>172</v>
      </c>
      <c r="B169" s="52">
        <v>472918</v>
      </c>
      <c r="AA169" s="1" t="s">
        <v>172</v>
      </c>
      <c r="AB169" s="1">
        <v>472918</v>
      </c>
    </row>
    <row r="170" spans="1:28" ht="15.75" customHeight="1">
      <c r="A170" s="1" t="s">
        <v>173</v>
      </c>
      <c r="B170" s="52">
        <v>473327</v>
      </c>
      <c r="AA170" s="1" t="s">
        <v>173</v>
      </c>
      <c r="AB170" s="1">
        <v>473327</v>
      </c>
    </row>
    <row r="171" spans="1:28" ht="15.75" customHeight="1">
      <c r="A171" s="1" t="s">
        <v>174</v>
      </c>
      <c r="B171" s="52">
        <v>519200</v>
      </c>
      <c r="AA171" s="1" t="s">
        <v>174</v>
      </c>
      <c r="AB171" s="1">
        <v>519200</v>
      </c>
    </row>
    <row r="172" spans="1:28" ht="15.75" customHeight="1">
      <c r="A172" s="1" t="s">
        <v>175</v>
      </c>
      <c r="B172" s="52">
        <v>485463</v>
      </c>
      <c r="AA172" s="1" t="s">
        <v>175</v>
      </c>
      <c r="AB172" s="1">
        <v>485463</v>
      </c>
    </row>
    <row r="173" spans="1:28" ht="15.75" customHeight="1">
      <c r="A173" s="1" t="s">
        <v>176</v>
      </c>
      <c r="B173" s="52">
        <v>500155</v>
      </c>
      <c r="AA173" s="1" t="s">
        <v>176</v>
      </c>
      <c r="AB173" s="1">
        <v>500155</v>
      </c>
    </row>
    <row r="174" spans="1:28" ht="15.75" customHeight="1">
      <c r="A174" s="1" t="s">
        <v>177</v>
      </c>
      <c r="B174" s="52">
        <v>478996</v>
      </c>
      <c r="AA174" s="1" t="s">
        <v>177</v>
      </c>
      <c r="AB174" s="1">
        <v>478996</v>
      </c>
    </row>
    <row r="175" spans="1:28" ht="15.75" customHeight="1">
      <c r="A175" s="1" t="s">
        <v>178</v>
      </c>
      <c r="B175" s="52">
        <v>485536</v>
      </c>
      <c r="AA175" s="1" t="s">
        <v>178</v>
      </c>
      <c r="AB175" s="1">
        <v>485536</v>
      </c>
    </row>
    <row r="176" spans="1:28" ht="15.75" customHeight="1">
      <c r="A176" s="1" t="s">
        <v>179</v>
      </c>
      <c r="B176" s="52">
        <v>449648</v>
      </c>
      <c r="AA176" s="1" t="s">
        <v>179</v>
      </c>
      <c r="AB176" s="1">
        <v>449648</v>
      </c>
    </row>
    <row r="177" spans="1:28" ht="15.75" customHeight="1">
      <c r="A177" s="1" t="s">
        <v>180</v>
      </c>
      <c r="B177" s="52">
        <v>472933</v>
      </c>
      <c r="AA177" s="1" t="s">
        <v>180</v>
      </c>
      <c r="AB177" s="1">
        <v>472933</v>
      </c>
    </row>
    <row r="178" spans="1:28" ht="15.75" customHeight="1">
      <c r="A178" s="1" t="s">
        <v>181</v>
      </c>
      <c r="B178" s="52">
        <v>548049</v>
      </c>
      <c r="AA178" s="1" t="s">
        <v>181</v>
      </c>
      <c r="AB178" s="1">
        <v>548049</v>
      </c>
    </row>
    <row r="179" spans="1:28" ht="15.75" customHeight="1">
      <c r="A179" s="1" t="s">
        <v>182</v>
      </c>
      <c r="B179" s="52">
        <v>547776</v>
      </c>
      <c r="AA179" s="1" t="s">
        <v>182</v>
      </c>
      <c r="AB179" s="1">
        <v>547776</v>
      </c>
    </row>
    <row r="180" spans="1:28" ht="15.75" customHeight="1">
      <c r="A180" s="1" t="s">
        <v>183</v>
      </c>
      <c r="B180" s="52">
        <v>486642</v>
      </c>
      <c r="AA180" s="1" t="s">
        <v>183</v>
      </c>
      <c r="AB180" s="1">
        <v>486642</v>
      </c>
    </row>
    <row r="181" spans="1:28" ht="15.75" customHeight="1">
      <c r="A181" s="1" t="s">
        <v>184</v>
      </c>
      <c r="B181" s="52">
        <v>488746</v>
      </c>
      <c r="AA181" s="1" t="s">
        <v>184</v>
      </c>
      <c r="AB181" s="1">
        <v>488746</v>
      </c>
    </row>
    <row r="182" spans="1:28" ht="15.75" customHeight="1">
      <c r="A182" s="1" t="s">
        <v>185</v>
      </c>
      <c r="B182" s="52">
        <v>498866</v>
      </c>
      <c r="AA182" s="1" t="s">
        <v>185</v>
      </c>
      <c r="AB182" s="1">
        <v>498866</v>
      </c>
    </row>
    <row r="183" spans="1:28" ht="15.75" customHeight="1">
      <c r="A183" s="1" t="s">
        <v>186</v>
      </c>
      <c r="B183" s="52">
        <v>547027</v>
      </c>
      <c r="AA183" s="1" t="s">
        <v>186</v>
      </c>
      <c r="AB183" s="1">
        <v>547027</v>
      </c>
    </row>
    <row r="184" spans="1:28" ht="15.75" customHeight="1">
      <c r="A184" s="1" t="s">
        <v>187</v>
      </c>
      <c r="B184" s="52">
        <v>514013</v>
      </c>
      <c r="AA184" s="1" t="s">
        <v>187</v>
      </c>
      <c r="AB184" s="1">
        <v>514013</v>
      </c>
    </row>
    <row r="185" spans="1:28" ht="15.75" customHeight="1">
      <c r="A185" s="1" t="s">
        <v>188</v>
      </c>
      <c r="B185" s="53">
        <v>485346</v>
      </c>
      <c r="AA185" s="1" t="s">
        <v>188</v>
      </c>
      <c r="AB185" s="1">
        <v>485346</v>
      </c>
    </row>
    <row r="186" spans="1:28" ht="15.75" customHeight="1">
      <c r="A186" s="1" t="s">
        <v>189</v>
      </c>
      <c r="B186" s="52">
        <v>547795</v>
      </c>
      <c r="AA186" s="1" t="s">
        <v>189</v>
      </c>
      <c r="AB186" s="1">
        <v>547795</v>
      </c>
    </row>
    <row r="187" spans="1:28" ht="15.75" customHeight="1">
      <c r="A187" s="1" t="s">
        <v>190</v>
      </c>
      <c r="B187" s="52">
        <v>501180</v>
      </c>
      <c r="AA187" s="1" t="s">
        <v>190</v>
      </c>
      <c r="AB187" s="1">
        <v>501180</v>
      </c>
    </row>
    <row r="188" spans="1:28" ht="15.75" customHeight="1">
      <c r="A188" s="1" t="s">
        <v>191</v>
      </c>
      <c r="B188" s="52">
        <v>491664</v>
      </c>
      <c r="AA188" s="1" t="s">
        <v>191</v>
      </c>
      <c r="AB188" s="1">
        <v>491664</v>
      </c>
    </row>
    <row r="189" spans="1:28" ht="15.75" customHeight="1">
      <c r="A189" s="1" t="s">
        <v>192</v>
      </c>
      <c r="B189" s="52">
        <v>524277</v>
      </c>
      <c r="AA189" s="1" t="s">
        <v>192</v>
      </c>
      <c r="AB189" s="1">
        <v>524277</v>
      </c>
    </row>
    <row r="190" spans="1:28" ht="15.75" customHeight="1">
      <c r="A190" s="1" t="s">
        <v>193</v>
      </c>
      <c r="B190" s="52">
        <v>583347</v>
      </c>
      <c r="AA190" s="1" t="s">
        <v>193</v>
      </c>
      <c r="AB190" s="1">
        <v>583347</v>
      </c>
    </row>
    <row r="191" spans="1:28" ht="15.75" customHeight="1">
      <c r="A191" s="1" t="s">
        <v>194</v>
      </c>
      <c r="B191" s="52">
        <v>608843</v>
      </c>
      <c r="AA191" s="1" t="s">
        <v>194</v>
      </c>
      <c r="AB191" s="1">
        <v>608843</v>
      </c>
    </row>
    <row r="192" spans="1:28" ht="15.75" customHeight="1">
      <c r="A192" s="1" t="s">
        <v>195</v>
      </c>
      <c r="B192" s="52">
        <v>504648</v>
      </c>
      <c r="AA192" s="1" t="s">
        <v>195</v>
      </c>
      <c r="AB192" s="1">
        <v>504648</v>
      </c>
    </row>
    <row r="193" spans="1:28" ht="15.75" customHeight="1">
      <c r="A193" s="1" t="s">
        <v>196</v>
      </c>
      <c r="B193" s="52">
        <v>533969</v>
      </c>
      <c r="AA193" s="1" t="s">
        <v>196</v>
      </c>
      <c r="AB193" s="1">
        <v>533969</v>
      </c>
    </row>
    <row r="194" spans="1:28" ht="15.75" customHeight="1">
      <c r="A194" s="1" t="s">
        <v>197</v>
      </c>
      <c r="B194" s="52">
        <v>537176</v>
      </c>
      <c r="AA194" s="1" t="s">
        <v>197</v>
      </c>
      <c r="AB194" s="1">
        <v>537176</v>
      </c>
    </row>
    <row r="195" spans="1:28" ht="15.75" customHeight="1">
      <c r="A195" s="1" t="s">
        <v>198</v>
      </c>
      <c r="B195" s="52">
        <v>593419</v>
      </c>
      <c r="AA195" s="1" t="s">
        <v>198</v>
      </c>
      <c r="AB195" s="1">
        <v>593419</v>
      </c>
    </row>
    <row r="196" spans="1:28" ht="15.75" customHeight="1">
      <c r="A196" s="1" t="s">
        <v>199</v>
      </c>
      <c r="B196" s="52">
        <v>549022</v>
      </c>
      <c r="AA196" s="1" t="s">
        <v>199</v>
      </c>
      <c r="AB196" s="1">
        <v>549022</v>
      </c>
    </row>
    <row r="197" spans="1:28" ht="15.75" customHeight="1">
      <c r="A197" s="1" t="s">
        <v>200</v>
      </c>
      <c r="B197" s="52">
        <v>527574</v>
      </c>
      <c r="AA197" s="1" t="s">
        <v>200</v>
      </c>
      <c r="AB197" s="1">
        <v>527574</v>
      </c>
    </row>
    <row r="198" spans="1:28" ht="15.75" customHeight="1">
      <c r="A198" s="1" t="s">
        <v>201</v>
      </c>
      <c r="B198" s="52">
        <v>626918</v>
      </c>
      <c r="AA198" s="1" t="s">
        <v>201</v>
      </c>
      <c r="AB198" s="1">
        <v>626918</v>
      </c>
    </row>
    <row r="199" spans="1:28" ht="15.75" customHeight="1">
      <c r="A199" s="1" t="s">
        <v>202</v>
      </c>
      <c r="B199" s="52">
        <v>540643</v>
      </c>
      <c r="AA199" s="1" t="s">
        <v>202</v>
      </c>
      <c r="AB199" s="1">
        <v>540643</v>
      </c>
    </row>
    <row r="200" spans="1:28" ht="15.75" customHeight="1">
      <c r="A200" s="1" t="s">
        <v>203</v>
      </c>
      <c r="B200" s="52">
        <v>509545</v>
      </c>
      <c r="AA200" s="1" t="s">
        <v>203</v>
      </c>
      <c r="AB200" s="1">
        <v>509545</v>
      </c>
    </row>
    <row r="201" spans="1:28" ht="15.75" customHeight="1">
      <c r="A201" s="1" t="s">
        <v>204</v>
      </c>
      <c r="B201" s="52">
        <v>531476</v>
      </c>
      <c r="AA201" s="1" t="s">
        <v>204</v>
      </c>
      <c r="AB201" s="1">
        <v>531476</v>
      </c>
    </row>
    <row r="202" spans="1:28" ht="15.75" customHeight="1">
      <c r="A202" s="1" t="s">
        <v>205</v>
      </c>
      <c r="B202" s="52">
        <v>642768</v>
      </c>
      <c r="AA202" s="1" t="s">
        <v>205</v>
      </c>
      <c r="AB202" s="1">
        <v>642768</v>
      </c>
    </row>
    <row r="203" spans="1:28" ht="15.75" customHeight="1">
      <c r="A203" s="1" t="s">
        <v>206</v>
      </c>
      <c r="B203" s="52">
        <v>664329</v>
      </c>
      <c r="AA203" s="1" t="s">
        <v>206</v>
      </c>
      <c r="AB203" s="1">
        <v>664329</v>
      </c>
    </row>
    <row r="204" spans="1:28" ht="15.75" customHeight="1">
      <c r="A204" s="1" t="s">
        <v>207</v>
      </c>
      <c r="B204" s="52">
        <v>551510</v>
      </c>
      <c r="AA204" s="1" t="s">
        <v>207</v>
      </c>
      <c r="AB204" s="1">
        <v>551510</v>
      </c>
    </row>
    <row r="205" spans="1:28" ht="15.75" customHeight="1">
      <c r="A205" s="1" t="s">
        <v>208</v>
      </c>
      <c r="B205" s="52">
        <v>564144</v>
      </c>
      <c r="AA205" s="1" t="s">
        <v>208</v>
      </c>
      <c r="AB205" s="1">
        <v>564144</v>
      </c>
    </row>
    <row r="206" spans="1:28" ht="15.75" customHeight="1">
      <c r="A206" s="1" t="s">
        <v>209</v>
      </c>
      <c r="B206" s="52">
        <v>569103</v>
      </c>
      <c r="AA206" s="1" t="s">
        <v>209</v>
      </c>
      <c r="AB206" s="1">
        <v>569103</v>
      </c>
    </row>
    <row r="207" spans="1:28" ht="15.75" customHeight="1">
      <c r="A207" s="1" t="s">
        <v>210</v>
      </c>
      <c r="B207" s="52">
        <v>621277</v>
      </c>
      <c r="AA207" s="1" t="s">
        <v>210</v>
      </c>
      <c r="AB207" s="1">
        <v>621277</v>
      </c>
    </row>
    <row r="208" spans="1:28" ht="15.75" customHeight="1">
      <c r="A208" s="1" t="s">
        <v>211</v>
      </c>
      <c r="B208" s="52">
        <v>575652</v>
      </c>
      <c r="AA208" s="1" t="s">
        <v>211</v>
      </c>
      <c r="AB208" s="1">
        <v>575652</v>
      </c>
    </row>
    <row r="209" spans="1:28" ht="15.75" customHeight="1">
      <c r="A209" s="1" t="s">
        <v>212</v>
      </c>
      <c r="B209" s="52">
        <v>556744</v>
      </c>
      <c r="AA209" s="1" t="s">
        <v>212</v>
      </c>
      <c r="AB209" s="1">
        <v>556744</v>
      </c>
    </row>
    <row r="210" spans="1:28" ht="15.75" customHeight="1">
      <c r="A210" s="1" t="s">
        <v>213</v>
      </c>
      <c r="B210" s="53">
        <v>619688</v>
      </c>
      <c r="AA210" s="1" t="s">
        <v>213</v>
      </c>
      <c r="AB210" s="1">
        <v>619688</v>
      </c>
    </row>
    <row r="211" spans="1:28" ht="15.75" customHeight="1">
      <c r="A211" s="1" t="s">
        <v>214</v>
      </c>
      <c r="B211" s="52">
        <v>548881</v>
      </c>
      <c r="AA211" s="1" t="s">
        <v>214</v>
      </c>
      <c r="AB211" s="1">
        <v>548881</v>
      </c>
    </row>
    <row r="212" spans="1:28" ht="15.75" customHeight="1">
      <c r="A212" s="1" t="s">
        <v>215</v>
      </c>
      <c r="B212" s="52">
        <v>535270</v>
      </c>
      <c r="AA212" s="1" t="s">
        <v>215</v>
      </c>
      <c r="AB212" s="1">
        <v>535270</v>
      </c>
    </row>
    <row r="213" spans="1:28" ht="15.75" customHeight="1">
      <c r="A213" s="1" t="s">
        <v>216</v>
      </c>
      <c r="B213" s="52">
        <v>549326</v>
      </c>
      <c r="AA213" s="1" t="s">
        <v>216</v>
      </c>
      <c r="AB213" s="1">
        <v>549326</v>
      </c>
    </row>
    <row r="214" spans="1:28" ht="15.75" customHeight="1">
      <c r="A214" s="1" t="s">
        <v>217</v>
      </c>
      <c r="B214" s="52">
        <v>676075</v>
      </c>
      <c r="AA214" s="1" t="s">
        <v>217</v>
      </c>
      <c r="AB214" s="1">
        <v>676075</v>
      </c>
    </row>
    <row r="215" spans="1:28" ht="15.75" customHeight="1">
      <c r="A215" s="1" t="s">
        <v>218</v>
      </c>
      <c r="B215" s="52">
        <v>688445</v>
      </c>
      <c r="AA215" s="1" t="s">
        <v>218</v>
      </c>
      <c r="AB215" s="1">
        <v>688445</v>
      </c>
    </row>
    <row r="216" spans="1:28" ht="15.75" customHeight="1">
      <c r="A216" s="1" t="s">
        <v>219</v>
      </c>
      <c r="B216" s="52">
        <v>583492</v>
      </c>
      <c r="AA216" s="1" t="s">
        <v>219</v>
      </c>
      <c r="AB216" s="1">
        <v>583492</v>
      </c>
    </row>
    <row r="217" spans="1:28" ht="15.75" customHeight="1">
      <c r="A217" s="1" t="s">
        <v>220</v>
      </c>
      <c r="B217" s="52">
        <v>588420</v>
      </c>
      <c r="AA217" s="1" t="s">
        <v>220</v>
      </c>
      <c r="AB217" s="1">
        <v>588420</v>
      </c>
    </row>
    <row r="218" spans="1:28" ht="15.75" customHeight="1">
      <c r="A218" s="1" t="s">
        <v>221</v>
      </c>
      <c r="B218" s="52">
        <v>589339</v>
      </c>
      <c r="AA218" s="1" t="s">
        <v>221</v>
      </c>
      <c r="AB218" s="1">
        <v>589339</v>
      </c>
    </row>
    <row r="219" spans="1:28" ht="15.75" customHeight="1">
      <c r="A219" s="1" t="s">
        <v>222</v>
      </c>
      <c r="B219" s="52">
        <v>625206</v>
      </c>
      <c r="AA219" s="1" t="s">
        <v>222</v>
      </c>
      <c r="AB219" s="1">
        <v>625206</v>
      </c>
    </row>
    <row r="220" spans="1:28" ht="15.75" customHeight="1">
      <c r="A220" s="1" t="s">
        <v>223</v>
      </c>
      <c r="B220" s="52">
        <v>599742</v>
      </c>
      <c r="AA220" s="1" t="s">
        <v>223</v>
      </c>
      <c r="AB220" s="1">
        <v>599742</v>
      </c>
    </row>
    <row r="221" spans="1:28" ht="15.75" customHeight="1">
      <c r="A221" s="1" t="s">
        <v>224</v>
      </c>
      <c r="B221" s="52">
        <v>595491</v>
      </c>
      <c r="AA221" s="1" t="s">
        <v>224</v>
      </c>
      <c r="AB221" s="1">
        <v>595491</v>
      </c>
    </row>
    <row r="222" spans="1:28" ht="15.75" customHeight="1">
      <c r="A222" s="1" t="s">
        <v>225</v>
      </c>
      <c r="B222" s="52">
        <v>641447</v>
      </c>
      <c r="AA222" s="1" t="s">
        <v>225</v>
      </c>
      <c r="AB222" s="1">
        <v>641447</v>
      </c>
    </row>
    <row r="223" spans="1:28" ht="15.75" customHeight="1">
      <c r="A223" s="1" t="s">
        <v>226</v>
      </c>
      <c r="B223" s="52">
        <v>584109</v>
      </c>
      <c r="AA223" s="1" t="s">
        <v>226</v>
      </c>
      <c r="AB223" s="1">
        <v>584109</v>
      </c>
    </row>
    <row r="224" spans="1:28" ht="15.75" customHeight="1">
      <c r="A224" s="1" t="s">
        <v>227</v>
      </c>
      <c r="B224" s="52">
        <v>551828</v>
      </c>
      <c r="AA224" s="1" t="s">
        <v>227</v>
      </c>
      <c r="AB224" s="1">
        <v>551828</v>
      </c>
    </row>
    <row r="225" spans="1:28" ht="15.75" customHeight="1">
      <c r="A225" s="1" t="s">
        <v>228</v>
      </c>
      <c r="B225" s="52">
        <v>586963</v>
      </c>
      <c r="AA225" s="1" t="s">
        <v>228</v>
      </c>
      <c r="AB225" s="1">
        <v>586963</v>
      </c>
    </row>
    <row r="226" spans="1:28" ht="15.75" customHeight="1">
      <c r="A226" s="1" t="s">
        <v>229</v>
      </c>
      <c r="B226" s="53">
        <v>651103</v>
      </c>
      <c r="AA226" s="1" t="s">
        <v>229</v>
      </c>
      <c r="AB226" s="1">
        <v>651103</v>
      </c>
    </row>
    <row r="227" spans="1:28" ht="15.75" customHeight="1">
      <c r="A227" s="1" t="s">
        <v>230</v>
      </c>
      <c r="B227" s="53">
        <v>655073</v>
      </c>
      <c r="AA227" s="1" t="s">
        <v>230</v>
      </c>
      <c r="AB227" s="1">
        <v>655073</v>
      </c>
    </row>
    <row r="228" spans="1:28" ht="15.75" customHeight="1">
      <c r="A228" s="1" t="s">
        <v>231</v>
      </c>
      <c r="B228" s="53">
        <v>548876</v>
      </c>
      <c r="AA228" s="1" t="s">
        <v>231</v>
      </c>
      <c r="AB228" s="1">
        <v>548876</v>
      </c>
    </row>
    <row r="229" spans="1:28" ht="15.75" customHeight="1">
      <c r="A229" s="1" t="s">
        <v>232</v>
      </c>
      <c r="B229" s="52">
        <v>600917</v>
      </c>
      <c r="AA229" s="1" t="s">
        <v>232</v>
      </c>
      <c r="AB229" s="1">
        <v>600917</v>
      </c>
    </row>
    <row r="230" spans="1:28" ht="15.75" customHeight="1">
      <c r="A230" s="1" t="s">
        <v>233</v>
      </c>
      <c r="B230" s="52">
        <v>599164</v>
      </c>
      <c r="AA230" s="1" t="s">
        <v>233</v>
      </c>
      <c r="AB230" s="1">
        <v>599164</v>
      </c>
    </row>
    <row r="231" spans="1:28" ht="15.75" customHeight="1">
      <c r="A231" s="1" t="s">
        <v>234</v>
      </c>
      <c r="B231" s="52">
        <v>677653</v>
      </c>
      <c r="AA231" s="1" t="s">
        <v>234</v>
      </c>
      <c r="AB231" s="1">
        <v>677653</v>
      </c>
    </row>
    <row r="232" spans="1:28" ht="15.75" customHeight="1">
      <c r="A232" s="1" t="s">
        <v>235</v>
      </c>
      <c r="B232" s="52">
        <v>612265</v>
      </c>
      <c r="AA232" s="1" t="s">
        <v>235</v>
      </c>
      <c r="AB232" s="1">
        <v>612265</v>
      </c>
    </row>
    <row r="233" spans="1:28" ht="15.75" customHeight="1">
      <c r="A233" s="1" t="s">
        <v>236</v>
      </c>
      <c r="B233" s="52">
        <v>634403</v>
      </c>
      <c r="AA233" s="1" t="s">
        <v>236</v>
      </c>
      <c r="AB233" s="1">
        <v>634403</v>
      </c>
    </row>
    <row r="234" spans="1:28" ht="15.75" customHeight="1">
      <c r="A234" s="1" t="s">
        <v>237</v>
      </c>
      <c r="B234" s="52">
        <v>657483</v>
      </c>
      <c r="AA234" s="1" t="s">
        <v>237</v>
      </c>
      <c r="AB234" s="1">
        <v>657483</v>
      </c>
    </row>
    <row r="235" spans="1:28" ht="15.75" customHeight="1">
      <c r="A235" s="1" t="s">
        <v>238</v>
      </c>
      <c r="B235" s="52">
        <v>595444</v>
      </c>
      <c r="AA235" s="1" t="s">
        <v>238</v>
      </c>
      <c r="AB235" s="1">
        <v>595444</v>
      </c>
    </row>
    <row r="236" spans="1:28" ht="15.75" customHeight="1">
      <c r="A236" s="1" t="s">
        <v>239</v>
      </c>
      <c r="B236" s="52">
        <v>582119</v>
      </c>
      <c r="AA236" s="1" t="s">
        <v>239</v>
      </c>
      <c r="AB236" s="1">
        <v>582119</v>
      </c>
    </row>
    <row r="237" spans="1:28" ht="15.75" customHeight="1">
      <c r="A237" s="1" t="s">
        <v>240</v>
      </c>
      <c r="B237" s="52">
        <v>607848</v>
      </c>
      <c r="AA237" s="1" t="s">
        <v>240</v>
      </c>
      <c r="AB237" s="1">
        <v>607848</v>
      </c>
    </row>
    <row r="238" spans="1:28" ht="15.75" customHeight="1">
      <c r="A238" s="1" t="s">
        <v>241</v>
      </c>
      <c r="B238" s="52">
        <v>692050</v>
      </c>
      <c r="AA238" s="1" t="s">
        <v>241</v>
      </c>
      <c r="AB238" s="1">
        <v>692050</v>
      </c>
    </row>
    <row r="239" spans="1:28" ht="15.75" customHeight="1">
      <c r="A239" s="1" t="s">
        <v>242</v>
      </c>
      <c r="B239" s="53">
        <v>645090</v>
      </c>
      <c r="AA239" s="1" t="s">
        <v>242</v>
      </c>
      <c r="AB239" s="1">
        <v>645090</v>
      </c>
    </row>
    <row r="240" spans="1:28" ht="15.75" customHeight="1">
      <c r="A240" s="1" t="s">
        <v>243</v>
      </c>
      <c r="B240" s="52">
        <v>564369</v>
      </c>
      <c r="AA240" s="1" t="s">
        <v>243</v>
      </c>
      <c r="AB240" s="1">
        <v>564369</v>
      </c>
    </row>
    <row r="241" spans="1:28" ht="15.75" customHeight="1">
      <c r="A241" s="1" t="s">
        <v>244</v>
      </c>
      <c r="B241" s="53">
        <v>495322</v>
      </c>
      <c r="AA241" s="1" t="s">
        <v>244</v>
      </c>
      <c r="AB241" s="1">
        <v>495322</v>
      </c>
    </row>
    <row r="242" spans="1:28" ht="15.75" customHeight="1">
      <c r="A242" s="1" t="s">
        <v>245</v>
      </c>
      <c r="B242" s="53">
        <v>535236</v>
      </c>
      <c r="AA242" s="1" t="s">
        <v>245</v>
      </c>
      <c r="AB242" s="1">
        <v>535236</v>
      </c>
    </row>
    <row r="243" spans="1:28" ht="15.75" customHeight="1">
      <c r="A243" s="1" t="s">
        <v>246</v>
      </c>
      <c r="B243" s="53">
        <v>576242</v>
      </c>
      <c r="AA243" s="1" t="s">
        <v>246</v>
      </c>
      <c r="AB243" s="1">
        <v>576242</v>
      </c>
    </row>
    <row r="244" spans="1:28" ht="15.75" customHeight="1">
      <c r="A244" s="1" t="s">
        <v>247</v>
      </c>
      <c r="B244" s="53">
        <v>509727</v>
      </c>
      <c r="AA244" s="1" t="s">
        <v>247</v>
      </c>
      <c r="AB244" s="1">
        <v>509727</v>
      </c>
    </row>
    <row r="245" spans="1:28" ht="15.75" customHeight="1">
      <c r="A245" s="1" t="s">
        <v>248</v>
      </c>
      <c r="B245" s="53">
        <v>497566</v>
      </c>
      <c r="AA245" s="1" t="s">
        <v>248</v>
      </c>
      <c r="AB245" s="1">
        <v>497566</v>
      </c>
    </row>
    <row r="246" spans="1:28" ht="15.75" customHeight="1">
      <c r="A246" s="1" t="s">
        <v>249</v>
      </c>
      <c r="B246" s="53">
        <v>519496</v>
      </c>
      <c r="AA246" s="1" t="s">
        <v>249</v>
      </c>
      <c r="AB246" s="1">
        <v>519496</v>
      </c>
    </row>
    <row r="247" spans="1:28" ht="15.75" customHeight="1">
      <c r="A247" s="1" t="s">
        <v>250</v>
      </c>
      <c r="B247" s="53">
        <v>491496</v>
      </c>
      <c r="AA247" s="1" t="s">
        <v>250</v>
      </c>
      <c r="AB247" s="1">
        <v>491496</v>
      </c>
    </row>
    <row r="248" spans="1:28" ht="15.75" customHeight="1">
      <c r="A248" s="1" t="s">
        <v>251</v>
      </c>
      <c r="B248" s="53">
        <v>548506</v>
      </c>
      <c r="AA248" s="1" t="s">
        <v>251</v>
      </c>
      <c r="AB248" s="1">
        <v>548506</v>
      </c>
    </row>
    <row r="249" spans="1:28" ht="15.75" customHeight="1">
      <c r="A249" s="1" t="s">
        <v>252</v>
      </c>
      <c r="B249" s="53">
        <v>487361</v>
      </c>
      <c r="AA249" s="1" t="s">
        <v>252</v>
      </c>
      <c r="AB249" s="1">
        <v>487361</v>
      </c>
    </row>
    <row r="250" spans="1:28" ht="15.75" customHeight="1">
      <c r="A250" s="1" t="s">
        <v>253</v>
      </c>
      <c r="B250" s="53">
        <v>556870</v>
      </c>
      <c r="AA250" s="1" t="s">
        <v>253</v>
      </c>
      <c r="AB250" s="1">
        <v>556870</v>
      </c>
    </row>
    <row r="251" spans="1:28" ht="15.75" customHeight="1">
      <c r="A251" s="1" t="s">
        <v>254</v>
      </c>
      <c r="B251" s="53">
        <v>569901</v>
      </c>
      <c r="AA251" s="1" t="s">
        <v>254</v>
      </c>
      <c r="AB251" s="1">
        <v>569901</v>
      </c>
    </row>
    <row r="252" spans="1:28" ht="15.75" customHeight="1">
      <c r="A252" s="1" t="s">
        <v>255</v>
      </c>
      <c r="B252" s="53">
        <v>482654</v>
      </c>
      <c r="AA252" s="1" t="s">
        <v>255</v>
      </c>
      <c r="AB252" s="1">
        <v>482654</v>
      </c>
    </row>
    <row r="253" spans="1:28" ht="15.75" customHeight="1">
      <c r="A253" s="1" t="s">
        <v>256</v>
      </c>
      <c r="B253" s="52">
        <v>498695</v>
      </c>
      <c r="AA253" s="1" t="s">
        <v>256</v>
      </c>
      <c r="AB253" s="1">
        <v>498695</v>
      </c>
    </row>
    <row r="254" spans="1:28" ht="15.75" customHeight="1">
      <c r="A254" s="1" t="s">
        <v>257</v>
      </c>
      <c r="B254" s="53">
        <v>506970</v>
      </c>
      <c r="AA254" s="1" t="s">
        <v>257</v>
      </c>
      <c r="AB254" s="1">
        <v>506970</v>
      </c>
    </row>
    <row r="255" spans="1:28" ht="15.75" customHeight="1">
      <c r="A255" s="1" t="s">
        <v>258</v>
      </c>
      <c r="B255" s="53">
        <v>572910</v>
      </c>
      <c r="AA255" s="1" t="s">
        <v>258</v>
      </c>
      <c r="AB255" s="1">
        <v>572910</v>
      </c>
    </row>
    <row r="256" spans="1:28" ht="15.75" customHeight="1">
      <c r="A256" s="1" t="s">
        <v>259</v>
      </c>
      <c r="B256" s="52">
        <v>570444</v>
      </c>
      <c r="AA256" s="1" t="s">
        <v>259</v>
      </c>
      <c r="AB256" s="1">
        <v>570444</v>
      </c>
    </row>
    <row r="257" spans="1:28" ht="15.75" customHeight="1">
      <c r="A257" s="1" t="s">
        <v>260</v>
      </c>
      <c r="B257" s="52">
        <v>517554</v>
      </c>
      <c r="AA257" s="1" t="s">
        <v>260</v>
      </c>
      <c r="AB257" s="1">
        <v>517554</v>
      </c>
    </row>
    <row r="258" spans="1:28" ht="15.75" customHeight="1">
      <c r="A258" s="1" t="s">
        <v>261</v>
      </c>
      <c r="B258" s="52">
        <v>580426</v>
      </c>
      <c r="AA258" s="1" t="s">
        <v>261</v>
      </c>
      <c r="AB258" s="1">
        <v>580426</v>
      </c>
    </row>
    <row r="259" spans="1:28" ht="15.75" customHeight="1">
      <c r="A259" s="1" t="s">
        <v>262</v>
      </c>
      <c r="B259" s="52">
        <v>524455</v>
      </c>
      <c r="AA259" s="1" t="s">
        <v>262</v>
      </c>
      <c r="AB259" s="1">
        <v>524455</v>
      </c>
    </row>
    <row r="260" spans="1:28" ht="15.75" customHeight="1">
      <c r="A260" s="1" t="s">
        <v>263</v>
      </c>
      <c r="B260" s="52">
        <v>558554</v>
      </c>
      <c r="AA260" s="1" t="s">
        <v>263</v>
      </c>
      <c r="AB260" s="1">
        <v>558554</v>
      </c>
    </row>
    <row r="261" spans="1:28" ht="15.75" customHeight="1">
      <c r="A261" s="1" t="s">
        <v>264</v>
      </c>
      <c r="B261" s="52">
        <v>575055</v>
      </c>
      <c r="AA261" s="1" t="s">
        <v>264</v>
      </c>
      <c r="AB261" s="1">
        <v>575055</v>
      </c>
    </row>
    <row r="262" spans="1:28" ht="15.75" customHeight="1">
      <c r="A262" s="1" t="s">
        <v>265</v>
      </c>
      <c r="B262" s="52">
        <v>629435</v>
      </c>
      <c r="AA262" s="1" t="s">
        <v>265</v>
      </c>
      <c r="AB262" s="1">
        <v>629435</v>
      </c>
    </row>
    <row r="263" spans="1:28" ht="15.75" customHeight="1">
      <c r="A263" s="1" t="s">
        <v>266</v>
      </c>
      <c r="B263" s="52">
        <v>629991</v>
      </c>
      <c r="AA263" s="1" t="s">
        <v>266</v>
      </c>
      <c r="AB263" s="1">
        <v>629991</v>
      </c>
    </row>
    <row r="264" spans="1:28" ht="15.75" customHeight="1">
      <c r="A264" s="1" t="s">
        <v>267</v>
      </c>
      <c r="B264" s="52">
        <v>557649</v>
      </c>
      <c r="AA264" s="1" t="s">
        <v>267</v>
      </c>
      <c r="AB264" s="1">
        <v>557649</v>
      </c>
    </row>
    <row r="265" spans="1:28" ht="15.75" customHeight="1">
      <c r="A265" s="1" t="s">
        <v>268</v>
      </c>
      <c r="B265" s="52">
        <v>604306</v>
      </c>
      <c r="AA265" s="1" t="s">
        <v>268</v>
      </c>
      <c r="AB265" s="1">
        <v>604306</v>
      </c>
    </row>
    <row r="266" spans="1:28" ht="15.75" customHeight="1">
      <c r="A266" s="1" t="s">
        <v>269</v>
      </c>
      <c r="B266" s="52">
        <v>594301</v>
      </c>
      <c r="AA266" s="1" t="s">
        <v>269</v>
      </c>
      <c r="AB266" s="1">
        <v>594301</v>
      </c>
    </row>
    <row r="267" spans="1:28" ht="15.75" customHeight="1">
      <c r="A267" s="1" t="s">
        <v>270</v>
      </c>
      <c r="B267" s="52">
        <v>616031</v>
      </c>
      <c r="AA267" s="1" t="s">
        <v>270</v>
      </c>
      <c r="AB267" s="1">
        <v>616031</v>
      </c>
    </row>
    <row r="268" spans="1:28" ht="15.75" customHeight="1">
      <c r="A268" s="1" t="s">
        <v>271</v>
      </c>
      <c r="B268" s="52">
        <v>637852</v>
      </c>
      <c r="AA268" s="1" t="s">
        <v>271</v>
      </c>
      <c r="AB268" s="1">
        <v>637852</v>
      </c>
    </row>
    <row r="269" spans="1:28" ht="15.75" customHeight="1">
      <c r="A269" s="1" t="s">
        <v>272</v>
      </c>
      <c r="B269" s="52">
        <v>601281</v>
      </c>
      <c r="AA269" s="1" t="s">
        <v>272</v>
      </c>
      <c r="AB269" s="1">
        <v>601281</v>
      </c>
    </row>
    <row r="270" spans="1:28" ht="15.75" customHeight="1">
      <c r="A270" s="1" t="s">
        <v>273</v>
      </c>
      <c r="B270" s="52">
        <v>640922</v>
      </c>
      <c r="AA270" s="1" t="s">
        <v>273</v>
      </c>
      <c r="AB270" s="1">
        <v>640922</v>
      </c>
    </row>
    <row r="271" spans="1:28" ht="15.75" customHeight="1">
      <c r="A271" s="1" t="s">
        <v>274</v>
      </c>
      <c r="B271" s="52">
        <v>636970</v>
      </c>
      <c r="AA271" s="1" t="s">
        <v>274</v>
      </c>
      <c r="AB271" s="1">
        <v>636970</v>
      </c>
    </row>
    <row r="272" spans="1:28" ht="15.75" customHeight="1">
      <c r="A272" s="1" t="s">
        <v>275</v>
      </c>
      <c r="B272" s="52">
        <v>595838</v>
      </c>
      <c r="AA272" s="1" t="s">
        <v>275</v>
      </c>
      <c r="AB272" s="1">
        <v>595838</v>
      </c>
    </row>
    <row r="273" spans="1:28" ht="15.75" customHeight="1">
      <c r="A273" s="1" t="s">
        <v>276</v>
      </c>
      <c r="B273" s="52">
        <v>609008</v>
      </c>
      <c r="AA273" s="1" t="s">
        <v>276</v>
      </c>
      <c r="AB273" s="1">
        <v>609008</v>
      </c>
    </row>
    <row r="274" spans="1:28" ht="15.75" customHeight="1">
      <c r="A274" s="1" t="s">
        <v>277</v>
      </c>
      <c r="B274" s="52">
        <v>707413</v>
      </c>
      <c r="AA274" s="1" t="s">
        <v>277</v>
      </c>
      <c r="AB274" s="1">
        <v>707413</v>
      </c>
    </row>
    <row r="275" spans="1:28" ht="15.75" customHeight="1">
      <c r="A275" s="1" t="s">
        <v>278</v>
      </c>
      <c r="B275" s="52">
        <v>695965</v>
      </c>
      <c r="AA275" s="1" t="s">
        <v>278</v>
      </c>
      <c r="AB275" s="1">
        <v>695965</v>
      </c>
    </row>
    <row r="276" spans="1:28" ht="15.75" customHeight="1">
      <c r="A276" s="1" t="s">
        <v>279</v>
      </c>
      <c r="B276" s="52">
        <v>612708</v>
      </c>
      <c r="AA276" s="1" t="s">
        <v>279</v>
      </c>
      <c r="AB276" s="1">
        <v>612708</v>
      </c>
    </row>
    <row r="277" spans="1:28" ht="15.75" customHeight="1">
      <c r="A277" s="1" t="s">
        <v>280</v>
      </c>
      <c r="B277" s="52">
        <v>636185</v>
      </c>
      <c r="AA277" s="1" t="s">
        <v>280</v>
      </c>
      <c r="AB277" s="1">
        <v>636185</v>
      </c>
    </row>
    <row r="278" spans="1:28" ht="15.75" customHeight="1">
      <c r="A278" s="1" t="s">
        <v>281</v>
      </c>
      <c r="B278" s="52">
        <v>625618</v>
      </c>
      <c r="AA278" s="1" t="s">
        <v>281</v>
      </c>
      <c r="AB278" s="1">
        <v>625618</v>
      </c>
    </row>
    <row r="279" spans="1:28" ht="15.75" customHeight="1">
      <c r="A279" s="1" t="s">
        <v>282</v>
      </c>
      <c r="B279" s="52">
        <v>691639</v>
      </c>
      <c r="AA279" s="1" t="s">
        <v>282</v>
      </c>
      <c r="AB279" s="1">
        <v>691639</v>
      </c>
    </row>
    <row r="280" spans="1:28" ht="15.75" customHeight="1">
      <c r="A280" s="1" t="s">
        <v>283</v>
      </c>
      <c r="B280" s="52">
        <v>658216</v>
      </c>
      <c r="AA280" s="1" t="s">
        <v>283</v>
      </c>
      <c r="AB280" s="1">
        <v>658216</v>
      </c>
    </row>
    <row r="281" spans="1:28" ht="15.75" customHeight="1">
      <c r="A281" s="1" t="s">
        <v>284</v>
      </c>
      <c r="B281" s="53">
        <v>592592</v>
      </c>
      <c r="AA281" s="1" t="s">
        <v>284</v>
      </c>
      <c r="AB281" s="1">
        <v>592592</v>
      </c>
    </row>
    <row r="282" spans="1:28" ht="15.75" customHeight="1">
      <c r="A282" s="1" t="s">
        <v>285</v>
      </c>
      <c r="B282" s="52">
        <v>665565</v>
      </c>
      <c r="AA282" s="1" t="s">
        <v>285</v>
      </c>
      <c r="AB282" s="1">
        <v>665565</v>
      </c>
    </row>
    <row r="283" spans="1:28" ht="15.75" customHeight="1">
      <c r="A283" s="1" t="s">
        <v>286</v>
      </c>
      <c r="B283" s="53">
        <v>613320</v>
      </c>
      <c r="AA283" s="1" t="s">
        <v>286</v>
      </c>
      <c r="AB283" s="1">
        <v>613320</v>
      </c>
    </row>
    <row r="284" spans="1:28" ht="15.75" customHeight="1">
      <c r="A284" s="1" t="s">
        <v>287</v>
      </c>
      <c r="B284" s="52">
        <v>605891</v>
      </c>
      <c r="AA284" s="1" t="s">
        <v>287</v>
      </c>
      <c r="AB284" s="1">
        <v>605891</v>
      </c>
    </row>
    <row r="285" spans="1:28" ht="15.75" customHeight="1">
      <c r="A285" s="1" t="s">
        <v>288</v>
      </c>
      <c r="B285" s="52">
        <v>609958</v>
      </c>
      <c r="AA285" s="1" t="s">
        <v>288</v>
      </c>
      <c r="AB285" s="1">
        <v>609958</v>
      </c>
    </row>
    <row r="286" spans="1:28" ht="15.75" customHeight="1">
      <c r="A286" s="1" t="s">
        <v>289</v>
      </c>
      <c r="B286" s="52">
        <v>714944</v>
      </c>
      <c r="AA286" s="1" t="s">
        <v>289</v>
      </c>
      <c r="AB286" s="1">
        <v>714944</v>
      </c>
    </row>
    <row r="287" spans="1:28" ht="15.75" customHeight="1">
      <c r="A287" s="1" t="s">
        <v>290</v>
      </c>
      <c r="B287" s="53">
        <v>693902</v>
      </c>
      <c r="AA287" s="1" t="s">
        <v>290</v>
      </c>
      <c r="AB287" s="1">
        <v>693902</v>
      </c>
    </row>
    <row r="288" spans="1:28" ht="15.75" customHeight="1">
      <c r="A288" s="1" t="s">
        <v>291</v>
      </c>
      <c r="B288" s="53">
        <v>593827</v>
      </c>
      <c r="AA288" s="1" t="s">
        <v>291</v>
      </c>
      <c r="AB288" s="1">
        <v>593827</v>
      </c>
    </row>
    <row r="289" spans="1:28" ht="15.75" customHeight="1">
      <c r="A289" s="1" t="s">
        <v>292</v>
      </c>
      <c r="B289" s="53">
        <v>569622</v>
      </c>
      <c r="AA289" s="1" t="s">
        <v>292</v>
      </c>
      <c r="AB289" s="1">
        <v>569622</v>
      </c>
    </row>
    <row r="290" spans="1:28" ht="15.75" customHeight="1">
      <c r="A290" s="1" t="s">
        <v>293</v>
      </c>
      <c r="B290" s="53">
        <v>534049</v>
      </c>
      <c r="AA290" s="1" t="s">
        <v>293</v>
      </c>
      <c r="AB290" s="1">
        <v>534049</v>
      </c>
    </row>
    <row r="291" spans="1:28" ht="15.75" customHeight="1">
      <c r="A291" s="1" t="s">
        <v>294</v>
      </c>
      <c r="B291" s="53">
        <v>670277</v>
      </c>
      <c r="AA291" s="1" t="s">
        <v>294</v>
      </c>
      <c r="AB291" s="1">
        <v>670277</v>
      </c>
    </row>
    <row r="292" spans="1:28" ht="15.75" customHeight="1">
      <c r="A292" s="1" t="s">
        <v>295</v>
      </c>
      <c r="B292" s="53">
        <v>596710</v>
      </c>
      <c r="AA292" s="1" t="s">
        <v>295</v>
      </c>
      <c r="AB292" s="1">
        <v>596710</v>
      </c>
    </row>
    <row r="293" spans="1:28" ht="15.75" customHeight="1">
      <c r="A293" s="1" t="s">
        <v>296</v>
      </c>
      <c r="B293" s="52">
        <v>598861</v>
      </c>
      <c r="AA293" s="1" t="s">
        <v>296</v>
      </c>
      <c r="AB293" s="1">
        <v>598861</v>
      </c>
    </row>
    <row r="294" spans="1:28" ht="15.75" customHeight="1">
      <c r="A294" s="1" t="s">
        <v>297</v>
      </c>
      <c r="B294" s="53">
        <v>655151</v>
      </c>
      <c r="AA294" s="1" t="s">
        <v>297</v>
      </c>
      <c r="AB294" s="1">
        <v>655151</v>
      </c>
    </row>
    <row r="295" spans="1:28" ht="15.75" customHeight="1">
      <c r="A295" s="1" t="s">
        <v>298</v>
      </c>
      <c r="B295" s="52">
        <v>622301</v>
      </c>
      <c r="AA295" s="1" t="s">
        <v>298</v>
      </c>
      <c r="AB295" s="1">
        <v>622301</v>
      </c>
    </row>
    <row r="296" spans="1:28" ht="15.75" customHeight="1">
      <c r="A296" s="1" t="s">
        <v>299</v>
      </c>
      <c r="B296" s="52">
        <v>606144</v>
      </c>
      <c r="AA296" s="1" t="s">
        <v>299</v>
      </c>
      <c r="AB296" s="1">
        <v>606144</v>
      </c>
    </row>
    <row r="297" spans="1:28" ht="15.75" customHeight="1">
      <c r="A297" s="1" t="s">
        <v>300</v>
      </c>
      <c r="B297" s="53">
        <v>601969</v>
      </c>
      <c r="AA297" s="1" t="s">
        <v>300</v>
      </c>
      <c r="AB297" s="1">
        <v>601969</v>
      </c>
    </row>
    <row r="298" spans="1:28" ht="15.75" customHeight="1">
      <c r="A298" s="1" t="s">
        <v>301</v>
      </c>
      <c r="B298" s="53">
        <v>679574</v>
      </c>
      <c r="AA298" s="1" t="s">
        <v>301</v>
      </c>
      <c r="AB298" s="1">
        <v>679574</v>
      </c>
    </row>
    <row r="299" spans="1:28" ht="15.75" customHeight="1">
      <c r="A299" s="1" t="s">
        <v>302</v>
      </c>
      <c r="B299" s="53">
        <v>671638</v>
      </c>
      <c r="AA299" s="1" t="s">
        <v>302</v>
      </c>
      <c r="AB299" s="1">
        <v>671638</v>
      </c>
    </row>
    <row r="300" spans="1:28" ht="15.75" customHeight="1">
      <c r="A300" s="1" t="s">
        <v>303</v>
      </c>
      <c r="B300" s="52">
        <v>597453</v>
      </c>
      <c r="AA300" s="1" t="s">
        <v>303</v>
      </c>
      <c r="AB300" s="1">
        <v>597453</v>
      </c>
    </row>
    <row r="301" spans="1:28" ht="15.75" customHeight="1">
      <c r="A301" s="1" t="s">
        <v>304</v>
      </c>
      <c r="B301" s="52">
        <v>638673</v>
      </c>
      <c r="AA301" s="1" t="s">
        <v>304</v>
      </c>
      <c r="AB301" s="1">
        <v>638673</v>
      </c>
    </row>
    <row r="302" spans="1:28" ht="15.75" customHeight="1">
      <c r="A302" s="1" t="s">
        <v>305</v>
      </c>
      <c r="B302" s="52">
        <v>588742</v>
      </c>
      <c r="AA302" s="1" t="s">
        <v>305</v>
      </c>
      <c r="AB302" s="1">
        <v>588742</v>
      </c>
    </row>
    <row r="303" spans="1:28" ht="15.75" customHeight="1">
      <c r="A303" s="1" t="s">
        <v>306</v>
      </c>
      <c r="B303" s="52">
        <v>709616</v>
      </c>
      <c r="AA303" s="1" t="s">
        <v>306</v>
      </c>
      <c r="AB303" s="1">
        <v>709616</v>
      </c>
    </row>
    <row r="304" spans="1:28" ht="15.75" customHeight="1">
      <c r="A304" s="1" t="s">
        <v>307</v>
      </c>
      <c r="B304" s="52">
        <v>641734</v>
      </c>
      <c r="AA304" s="1" t="s">
        <v>307</v>
      </c>
      <c r="AB304" s="1">
        <v>641734</v>
      </c>
    </row>
    <row r="305" spans="1:28" ht="15.75" customHeight="1">
      <c r="A305" s="1" t="s">
        <v>308</v>
      </c>
      <c r="B305" s="52">
        <v>613395</v>
      </c>
      <c r="AA305" s="1" t="s">
        <v>308</v>
      </c>
      <c r="AB305" s="1">
        <v>613395</v>
      </c>
    </row>
    <row r="306" spans="1:28" ht="15.75" customHeight="1">
      <c r="A306" s="1" t="s">
        <v>309</v>
      </c>
      <c r="B306" s="53">
        <v>559945</v>
      </c>
      <c r="AA306" s="1" t="s">
        <v>309</v>
      </c>
      <c r="AB306" s="1">
        <v>559945</v>
      </c>
    </row>
    <row r="307" spans="1:28" ht="15.75" customHeight="1">
      <c r="A307" s="1" t="s">
        <v>310</v>
      </c>
      <c r="B307" s="53">
        <v>203562</v>
      </c>
      <c r="AA307" s="1" t="s">
        <v>310</v>
      </c>
      <c r="AB307" s="1">
        <v>203562</v>
      </c>
    </row>
    <row r="308" spans="1:28" ht="15.75" customHeight="1">
      <c r="A308" s="1" t="s">
        <v>311</v>
      </c>
      <c r="B308" s="53">
        <v>177808</v>
      </c>
      <c r="AA308" s="1" t="s">
        <v>311</v>
      </c>
      <c r="AB308" s="1">
        <v>177808</v>
      </c>
    </row>
    <row r="309" spans="1:28" ht="15.75" customHeight="1">
      <c r="A309" s="1" t="s">
        <v>312</v>
      </c>
      <c r="B309" s="53">
        <v>316587</v>
      </c>
      <c r="AA309" s="1" t="s">
        <v>312</v>
      </c>
      <c r="AB309" s="1">
        <v>316587</v>
      </c>
    </row>
    <row r="310" spans="1:28" ht="15.75" customHeight="1">
      <c r="A310" s="1" t="s">
        <v>313</v>
      </c>
      <c r="B310" s="53">
        <v>540914</v>
      </c>
      <c r="AA310" s="1" t="s">
        <v>313</v>
      </c>
      <c r="AB310" s="1">
        <v>540914</v>
      </c>
    </row>
    <row r="311" spans="1:28" ht="15.75" customHeight="1">
      <c r="A311" s="1" t="s">
        <v>314</v>
      </c>
      <c r="B311" s="53">
        <v>602240</v>
      </c>
      <c r="AA311" s="1" t="s">
        <v>314</v>
      </c>
      <c r="AB311" s="1">
        <v>602240</v>
      </c>
    </row>
    <row r="312" spans="1:28" ht="15.75" customHeight="1">
      <c r="A312" s="1" t="s">
        <v>315</v>
      </c>
      <c r="B312" s="53">
        <v>556871</v>
      </c>
      <c r="AA312" s="1" t="s">
        <v>315</v>
      </c>
      <c r="AB312" s="1">
        <v>556871</v>
      </c>
    </row>
    <row r="313" spans="1:28" ht="15.75" customHeight="1">
      <c r="A313" s="1" t="s">
        <v>316</v>
      </c>
      <c r="B313" s="53">
        <v>586390</v>
      </c>
      <c r="AA313" s="1" t="s">
        <v>316</v>
      </c>
      <c r="AB313" s="1">
        <v>586390</v>
      </c>
    </row>
    <row r="314" spans="1:28" ht="15.75" customHeight="1">
      <c r="A314" s="1" t="s">
        <v>317</v>
      </c>
      <c r="B314" s="52">
        <v>635716</v>
      </c>
      <c r="AA314" s="1" t="s">
        <v>317</v>
      </c>
      <c r="AB314" s="1">
        <v>635716</v>
      </c>
    </row>
    <row r="315" spans="1:28" ht="15.75" customHeight="1">
      <c r="A315" s="1" t="s">
        <v>318</v>
      </c>
      <c r="B315" s="53">
        <v>691786</v>
      </c>
      <c r="AA315" s="1" t="s">
        <v>318</v>
      </c>
      <c r="AB315" s="1">
        <v>691786</v>
      </c>
    </row>
    <row r="316" spans="1:28" ht="15.75" customHeight="1">
      <c r="A316" s="1" t="s">
        <v>319</v>
      </c>
      <c r="B316" s="52">
        <v>651951</v>
      </c>
      <c r="AA316" s="1" t="s">
        <v>319</v>
      </c>
      <c r="AB316" s="1">
        <v>651951</v>
      </c>
    </row>
    <row r="317" spans="1:28" ht="15.75" customHeight="1">
      <c r="A317" s="1" t="s">
        <v>320</v>
      </c>
      <c r="B317" s="53">
        <v>591565</v>
      </c>
      <c r="AA317" s="1" t="s">
        <v>320</v>
      </c>
      <c r="AB317" s="1">
        <v>591565</v>
      </c>
    </row>
    <row r="318" spans="1:28" ht="15.75" customHeight="1">
      <c r="A318" s="1" t="s">
        <v>321</v>
      </c>
      <c r="B318" s="52">
        <v>626350</v>
      </c>
      <c r="AA318" s="1" t="s">
        <v>321</v>
      </c>
      <c r="AB318" s="1">
        <v>626350</v>
      </c>
    </row>
    <row r="319" spans="1:28" ht="15.75" customHeight="1">
      <c r="A319" s="1" t="s">
        <v>322</v>
      </c>
      <c r="B319" s="52">
        <v>653156</v>
      </c>
      <c r="AA319" s="1" t="s">
        <v>322</v>
      </c>
      <c r="AB319" s="1">
        <v>653156</v>
      </c>
    </row>
    <row r="320" spans="1:28" ht="15.75" customHeight="1">
      <c r="A320" s="1" t="s">
        <v>323</v>
      </c>
      <c r="B320" s="52">
        <v>660347</v>
      </c>
      <c r="AA320" s="1" t="s">
        <v>323</v>
      </c>
      <c r="AB320" s="1">
        <v>660347</v>
      </c>
    </row>
    <row r="321" spans="1:28" ht="15.75" customHeight="1">
      <c r="A321" s="1" t="s">
        <v>324</v>
      </c>
      <c r="B321" s="52">
        <v>687016</v>
      </c>
      <c r="AA321" s="1" t="s">
        <v>324</v>
      </c>
      <c r="AB321" s="1">
        <v>687016</v>
      </c>
    </row>
    <row r="322" spans="1:28" ht="15.75" customHeight="1">
      <c r="A322" s="1" t="s">
        <v>325</v>
      </c>
      <c r="B322" s="52">
        <v>802890</v>
      </c>
      <c r="AA322" s="1" t="s">
        <v>325</v>
      </c>
      <c r="AB322" s="1">
        <v>802890</v>
      </c>
    </row>
    <row r="323" spans="1:28" ht="15.75" customHeight="1">
      <c r="A323" s="1" t="s">
        <v>326</v>
      </c>
      <c r="B323" s="52">
        <v>746317</v>
      </c>
      <c r="AA323" s="1" t="s">
        <v>326</v>
      </c>
      <c r="AB323" s="1">
        <v>746317</v>
      </c>
    </row>
    <row r="324" spans="1:28" ht="15.75" customHeight="1">
      <c r="A324" s="1" t="s">
        <v>327</v>
      </c>
      <c r="B324" s="52">
        <v>658510</v>
      </c>
      <c r="AA324" s="1" t="s">
        <v>327</v>
      </c>
      <c r="AB324" s="1">
        <v>658510</v>
      </c>
    </row>
    <row r="325" spans="1:28" ht="15.75" customHeight="1">
      <c r="A325" s="1" t="s">
        <v>328</v>
      </c>
      <c r="B325" s="52">
        <v>696431</v>
      </c>
      <c r="AA325" s="1" t="s">
        <v>328</v>
      </c>
      <c r="AB325" s="1">
        <v>696431</v>
      </c>
    </row>
    <row r="326" spans="1:28" ht="15.75" customHeight="1">
      <c r="A326" s="1" t="s">
        <v>329</v>
      </c>
      <c r="B326" s="52">
        <v>752614</v>
      </c>
      <c r="AA326" s="1" t="s">
        <v>329</v>
      </c>
      <c r="AB326" s="1">
        <v>752614</v>
      </c>
    </row>
    <row r="327" spans="1:28" ht="15.75" customHeight="1">
      <c r="A327" s="1" t="s">
        <v>330</v>
      </c>
      <c r="B327" s="52">
        <v>801497</v>
      </c>
      <c r="AA327" s="1" t="s">
        <v>330</v>
      </c>
      <c r="AB327" s="1">
        <v>801497</v>
      </c>
    </row>
    <row r="328" spans="1:28" ht="15.75" customHeight="1">
      <c r="A328" s="1" t="s">
        <v>331</v>
      </c>
      <c r="B328" s="52">
        <v>668334</v>
      </c>
      <c r="AA328" s="1" t="s">
        <v>331</v>
      </c>
      <c r="AB328" s="1">
        <v>668334</v>
      </c>
    </row>
    <row r="329" spans="1:28" ht="15.75" customHeight="1">
      <c r="A329" s="1" t="s">
        <v>332</v>
      </c>
      <c r="B329" s="52">
        <v>627367</v>
      </c>
      <c r="AA329" s="1" t="s">
        <v>332</v>
      </c>
      <c r="AB329" s="1">
        <v>627367</v>
      </c>
    </row>
    <row r="330" spans="1:28" ht="15.75" customHeight="1">
      <c r="A330" s="1" t="s">
        <v>333</v>
      </c>
      <c r="B330" s="52">
        <v>732753</v>
      </c>
      <c r="AA330" s="1" t="s">
        <v>333</v>
      </c>
      <c r="AB330" s="1">
        <v>732753</v>
      </c>
    </row>
    <row r="331" spans="1:28" ht="15.75" customHeight="1">
      <c r="A331" s="1" t="s">
        <v>334</v>
      </c>
      <c r="B331" s="52">
        <v>702985</v>
      </c>
      <c r="AA331" s="1" t="s">
        <v>334</v>
      </c>
      <c r="AB331" s="1">
        <v>702985</v>
      </c>
    </row>
    <row r="332" spans="1:28" ht="15.75" customHeight="1">
      <c r="A332" s="1" t="s">
        <v>335</v>
      </c>
      <c r="B332" s="52">
        <v>709777</v>
      </c>
      <c r="AA332" s="1" t="s">
        <v>335</v>
      </c>
      <c r="AB332" s="1">
        <v>709777</v>
      </c>
    </row>
    <row r="333" spans="1:28" ht="15.75" customHeight="1">
      <c r="A333" s="1" t="s">
        <v>336</v>
      </c>
      <c r="B333" s="52">
        <v>747475</v>
      </c>
      <c r="AA333" s="1" t="s">
        <v>336</v>
      </c>
      <c r="AB333" s="1">
        <v>747475</v>
      </c>
    </row>
    <row r="334" spans="1:28" ht="15.75" customHeight="1">
      <c r="A334" s="1" t="s">
        <v>337</v>
      </c>
      <c r="B334" s="52">
        <v>877392</v>
      </c>
      <c r="AA334" s="1" t="s">
        <v>337</v>
      </c>
      <c r="AB334" s="1">
        <v>877392</v>
      </c>
    </row>
    <row r="335" spans="1:28" ht="15.75" customHeight="1">
      <c r="A335" s="1" t="s">
        <v>338</v>
      </c>
      <c r="B335" s="52">
        <v>811099</v>
      </c>
      <c r="AA335" s="1" t="s">
        <v>338</v>
      </c>
      <c r="AB335" s="1">
        <v>811099</v>
      </c>
    </row>
    <row r="336" spans="1:28" ht="15.75" customHeight="1">
      <c r="A336" s="1" t="s">
        <v>339</v>
      </c>
      <c r="B336" s="52">
        <v>705110</v>
      </c>
      <c r="AA336" s="1" t="s">
        <v>339</v>
      </c>
      <c r="AB336" s="1">
        <v>705110</v>
      </c>
    </row>
    <row r="337" spans="1:28" ht="15.75" customHeight="1">
      <c r="A337" s="1" t="s">
        <v>340</v>
      </c>
      <c r="B337" s="52">
        <v>745129</v>
      </c>
      <c r="AA337" s="1" t="s">
        <v>340</v>
      </c>
      <c r="AB337" s="1">
        <v>745129</v>
      </c>
    </row>
    <row r="338" spans="1:28" ht="15.75" customHeight="1">
      <c r="A338" s="1" t="s">
        <v>341</v>
      </c>
      <c r="B338" s="52">
        <v>786117</v>
      </c>
      <c r="AA338" s="1" t="s">
        <v>341</v>
      </c>
      <c r="AB338" s="1">
        <v>786117</v>
      </c>
    </row>
    <row r="339" spans="1:28" ht="15.75" customHeight="1">
      <c r="A339" s="1" t="s">
        <v>342</v>
      </c>
      <c r="B339" s="52">
        <v>829483</v>
      </c>
      <c r="AA339" s="1" t="s">
        <v>342</v>
      </c>
      <c r="AB339" s="1">
        <v>829483</v>
      </c>
    </row>
    <row r="340" spans="1:28" ht="15.75" customHeight="1">
      <c r="A340" s="1" t="s">
        <v>343</v>
      </c>
      <c r="B340" s="52">
        <v>767908</v>
      </c>
      <c r="AA340" s="1" t="s">
        <v>343</v>
      </c>
      <c r="AB340" s="1">
        <v>767908</v>
      </c>
    </row>
    <row r="341" spans="1:28" ht="15.75" customHeight="1">
      <c r="A341" s="1" t="s">
        <v>344</v>
      </c>
      <c r="B341" s="52">
        <v>728158</v>
      </c>
      <c r="AA341" s="1" t="s">
        <v>344</v>
      </c>
      <c r="AB341" s="1">
        <v>728158</v>
      </c>
    </row>
    <row r="342" spans="1:28" ht="15.75" customHeight="1">
      <c r="A342" s="1" t="s">
        <v>345</v>
      </c>
      <c r="B342" s="52">
        <v>819985</v>
      </c>
      <c r="AA342" s="1" t="s">
        <v>345</v>
      </c>
      <c r="AB342" s="1">
        <v>819985</v>
      </c>
    </row>
    <row r="343" spans="1:28" ht="15.75" customHeight="1">
      <c r="A343" s="1" t="s">
        <v>346</v>
      </c>
      <c r="B343" s="52">
        <v>816654</v>
      </c>
      <c r="AA343" s="1" t="s">
        <v>346</v>
      </c>
      <c r="AB343" s="1">
        <v>816654</v>
      </c>
    </row>
    <row r="344" spans="1:28" ht="15.75" customHeight="1">
      <c r="A344" s="1" t="s">
        <v>347</v>
      </c>
      <c r="B344" s="52">
        <v>766181</v>
      </c>
      <c r="AA344" s="1" t="s">
        <v>347</v>
      </c>
      <c r="AB344" s="1">
        <v>766181</v>
      </c>
    </row>
    <row r="345" spans="1:28" ht="15.75" customHeight="1">
      <c r="A345" s="1" t="s">
        <v>348</v>
      </c>
      <c r="B345" s="52">
        <v>788955</v>
      </c>
      <c r="AA345" s="1" t="s">
        <v>348</v>
      </c>
      <c r="AB345" s="1">
        <v>788955</v>
      </c>
    </row>
    <row r="346" spans="1:28" ht="15.75" customHeight="1">
      <c r="A346" s="1" t="s">
        <v>349</v>
      </c>
      <c r="B346" s="52">
        <v>914879</v>
      </c>
      <c r="AA346" s="1" t="s">
        <v>349</v>
      </c>
      <c r="AB346" s="1">
        <v>914879</v>
      </c>
    </row>
    <row r="347" spans="1:28" ht="15.75" customHeight="1">
      <c r="A347" s="1" t="s">
        <v>350</v>
      </c>
      <c r="B347" s="52">
        <v>870763</v>
      </c>
      <c r="AA347" s="1" t="s">
        <v>350</v>
      </c>
      <c r="AB347" s="1">
        <v>870763</v>
      </c>
    </row>
    <row r="348" spans="1:28" ht="15.75" customHeight="1">
      <c r="A348" s="1" t="s">
        <v>351</v>
      </c>
      <c r="B348" s="52">
        <v>715523</v>
      </c>
      <c r="AA348" s="1" t="s">
        <v>351</v>
      </c>
      <c r="AB348" s="1">
        <v>715523</v>
      </c>
    </row>
    <row r="349" spans="1:28" ht="15.75" customHeight="1">
      <c r="A349" s="1" t="s">
        <v>352</v>
      </c>
      <c r="B349" s="52">
        <v>857809</v>
      </c>
      <c r="AA349" s="1" t="s">
        <v>352</v>
      </c>
      <c r="AB349" s="1">
        <v>857809</v>
      </c>
    </row>
    <row r="350" spans="1:28" ht="15.75" customHeight="1">
      <c r="A350" s="1" t="s">
        <v>353</v>
      </c>
      <c r="B350" s="52">
        <v>800625</v>
      </c>
      <c r="AA350" s="1" t="s">
        <v>353</v>
      </c>
      <c r="AB350" s="1">
        <v>800625</v>
      </c>
    </row>
    <row r="351" spans="1:28" ht="15.75" customHeight="1">
      <c r="A351" s="1" t="s">
        <v>354</v>
      </c>
      <c r="B351" s="52">
        <v>903512</v>
      </c>
      <c r="AA351" s="1" t="s">
        <v>354</v>
      </c>
      <c r="AB351" s="1">
        <v>903512</v>
      </c>
    </row>
    <row r="352" spans="1:28" ht="15.75" customHeight="1">
      <c r="A352" s="1" t="s">
        <v>355</v>
      </c>
      <c r="B352" s="52">
        <v>825919</v>
      </c>
      <c r="AA352" s="1" t="s">
        <v>355</v>
      </c>
      <c r="AB352" s="1">
        <v>825919</v>
      </c>
    </row>
    <row r="353" spans="1:28" ht="15.75" customHeight="1">
      <c r="A353" s="1" t="s">
        <v>356</v>
      </c>
      <c r="B353" s="52">
        <v>758341</v>
      </c>
      <c r="AA353" s="1" t="s">
        <v>356</v>
      </c>
      <c r="AB353" s="1">
        <v>758341</v>
      </c>
    </row>
    <row r="354" spans="1:28" ht="15.75" customHeight="1">
      <c r="A354" s="1" t="s">
        <v>357</v>
      </c>
      <c r="B354" s="52">
        <v>858661</v>
      </c>
      <c r="AA354" s="1" t="s">
        <v>357</v>
      </c>
      <c r="AB354" s="1">
        <v>858661</v>
      </c>
    </row>
    <row r="355" spans="1:28" ht="15.75" customHeight="1">
      <c r="A355" s="1" t="s">
        <v>358</v>
      </c>
      <c r="B355" s="52">
        <v>819505</v>
      </c>
      <c r="AA355" s="1" t="s">
        <v>358</v>
      </c>
      <c r="AB355" s="1">
        <v>819505</v>
      </c>
    </row>
    <row r="356" spans="1:28" ht="15.75" customHeight="1">
      <c r="A356" s="1" t="s">
        <v>359</v>
      </c>
      <c r="B356" s="52">
        <v>821248</v>
      </c>
      <c r="AA356" s="1" t="s">
        <v>359</v>
      </c>
      <c r="AB356" s="1">
        <v>821248</v>
      </c>
    </row>
    <row r="357" spans="1:28" ht="15.75" customHeight="1">
      <c r="A357" s="1" t="s">
        <v>360</v>
      </c>
      <c r="B357" s="52">
        <v>850514</v>
      </c>
      <c r="AA357" s="1" t="s">
        <v>360</v>
      </c>
      <c r="AB357" s="1">
        <v>850514</v>
      </c>
    </row>
    <row r="358" spans="1:28" ht="15.75" customHeight="1">
      <c r="A358" s="1" t="s">
        <v>361</v>
      </c>
      <c r="B358" s="52">
        <v>952836</v>
      </c>
      <c r="AA358" s="1" t="s">
        <v>361</v>
      </c>
      <c r="AB358" s="1">
        <v>952836</v>
      </c>
    </row>
    <row r="359" spans="1:28" ht="15.75" customHeight="1">
      <c r="A359" s="1" t="s">
        <v>362</v>
      </c>
      <c r="B359" s="52">
        <v>913181</v>
      </c>
      <c r="AA359" s="1" t="s">
        <v>362</v>
      </c>
      <c r="AB359" s="1">
        <v>913181</v>
      </c>
    </row>
    <row r="360" spans="1:28" ht="15.75" customHeight="1">
      <c r="A360" s="1" t="s">
        <v>363</v>
      </c>
      <c r="B360" s="52">
        <v>771453</v>
      </c>
      <c r="AA360" s="1" t="s">
        <v>363</v>
      </c>
      <c r="AB360" s="1">
        <v>771453</v>
      </c>
    </row>
    <row r="361" spans="1:28" ht="15.75" customHeight="1">
      <c r="A361" s="1" t="s">
        <v>364</v>
      </c>
      <c r="B361" s="52">
        <v>917427</v>
      </c>
      <c r="AA361" s="1" t="s">
        <v>364</v>
      </c>
      <c r="AB361" s="1">
        <v>917427</v>
      </c>
    </row>
    <row r="362" spans="1:28" ht="15.75" customHeight="1">
      <c r="A362" s="1" t="s">
        <v>365</v>
      </c>
      <c r="B362" s="52">
        <v>841648</v>
      </c>
      <c r="AA362" s="1" t="s">
        <v>365</v>
      </c>
      <c r="AB362" s="1">
        <v>841648</v>
      </c>
    </row>
    <row r="363" spans="1:28" ht="15.75" customHeight="1">
      <c r="A363" s="1" t="s">
        <v>366</v>
      </c>
      <c r="B363" s="52">
        <v>953812</v>
      </c>
      <c r="AA363" s="1" t="s">
        <v>366</v>
      </c>
      <c r="AB363" s="1">
        <v>953812</v>
      </c>
    </row>
    <row r="364" spans="1:28" ht="15.75" customHeight="1">
      <c r="A364" s="1" t="s">
        <v>367</v>
      </c>
      <c r="B364" s="52">
        <v>885290</v>
      </c>
      <c r="AA364" s="1" t="s">
        <v>367</v>
      </c>
      <c r="AB364" s="1">
        <v>885290</v>
      </c>
    </row>
    <row r="365" spans="1:28" ht="15.75" customHeight="1">
      <c r="A365" s="1" t="s">
        <v>368</v>
      </c>
      <c r="B365" s="52">
        <v>813028</v>
      </c>
      <c r="AA365" s="1" t="s">
        <v>368</v>
      </c>
      <c r="AB365" s="1">
        <v>813028</v>
      </c>
    </row>
    <row r="366" spans="1:28" ht="15.75" customHeight="1">
      <c r="A366" s="1" t="s">
        <v>369</v>
      </c>
      <c r="B366" s="52">
        <v>910635</v>
      </c>
      <c r="AA366" s="1" t="s">
        <v>369</v>
      </c>
      <c r="AB366" s="1">
        <v>910635</v>
      </c>
    </row>
    <row r="367" spans="1:28" ht="15.75" customHeight="1">
      <c r="A367" s="1" t="s">
        <v>370</v>
      </c>
      <c r="B367" s="52">
        <v>829438</v>
      </c>
      <c r="AA367" s="1" t="s">
        <v>370</v>
      </c>
      <c r="AB367" s="1">
        <v>829438</v>
      </c>
    </row>
    <row r="368" spans="1:28" ht="15.75" customHeight="1">
      <c r="A368" s="1" t="s">
        <v>371</v>
      </c>
      <c r="B368" s="52">
        <v>833604</v>
      </c>
      <c r="AA368" s="1" t="s">
        <v>371</v>
      </c>
      <c r="AB368" s="1">
        <v>833604</v>
      </c>
    </row>
    <row r="369" spans="1:28" ht="15.75" customHeight="1">
      <c r="A369" s="1" t="s">
        <v>372</v>
      </c>
      <c r="B369" s="53">
        <v>822954</v>
      </c>
      <c r="AA369" s="1" t="s">
        <v>372</v>
      </c>
      <c r="AB369" s="1">
        <v>822954</v>
      </c>
    </row>
    <row r="370" spans="1:28" ht="15.75" customHeight="1">
      <c r="A370" s="1" t="s">
        <v>373</v>
      </c>
      <c r="B370" s="53">
        <v>922569</v>
      </c>
      <c r="AA370" s="1" t="s">
        <v>373</v>
      </c>
      <c r="AB370" s="1">
        <v>922569</v>
      </c>
    </row>
    <row r="371" spans="1:28" ht="15.75" customHeight="1">
      <c r="A371" s="1" t="s">
        <v>374</v>
      </c>
      <c r="B371" s="53">
        <v>850016</v>
      </c>
      <c r="AA371" s="1" t="s">
        <v>374</v>
      </c>
      <c r="AB371" s="1">
        <v>850016</v>
      </c>
    </row>
    <row r="372" spans="1:28" ht="15.75" customHeight="1">
      <c r="A372" s="1" t="s">
        <v>375</v>
      </c>
      <c r="B372" s="53">
        <v>745794</v>
      </c>
      <c r="AA372" s="1" t="s">
        <v>375</v>
      </c>
      <c r="AB372" s="1">
        <v>745794</v>
      </c>
    </row>
    <row r="373" spans="1:28" ht="15.75" customHeight="1">
      <c r="A373" s="1" t="s">
        <v>376</v>
      </c>
      <c r="B373" s="53">
        <v>849400</v>
      </c>
      <c r="AA373" s="1" t="s">
        <v>376</v>
      </c>
      <c r="AB373" s="1">
        <v>849400</v>
      </c>
    </row>
    <row r="374" spans="1:28" ht="15.75" customHeight="1">
      <c r="A374" s="1" t="s">
        <v>377</v>
      </c>
      <c r="B374" s="53">
        <v>765325</v>
      </c>
      <c r="AA374" s="1" t="s">
        <v>377</v>
      </c>
      <c r="AB374" s="1">
        <v>765325</v>
      </c>
    </row>
    <row r="375" spans="1:28" ht="15.75" customHeight="1">
      <c r="A375" s="1" t="s">
        <v>378</v>
      </c>
      <c r="B375" s="53">
        <v>888001</v>
      </c>
      <c r="AA375" s="1" t="s">
        <v>378</v>
      </c>
      <c r="AB375" s="1">
        <v>888001</v>
      </c>
    </row>
    <row r="376" spans="1:28" ht="15.75" customHeight="1">
      <c r="A376" s="1" t="s">
        <v>379</v>
      </c>
      <c r="B376" s="53">
        <v>772138</v>
      </c>
      <c r="AA376" s="1" t="s">
        <v>379</v>
      </c>
      <c r="AB376" s="1">
        <v>772138</v>
      </c>
    </row>
    <row r="377" spans="1:28" ht="15.75" customHeight="1">
      <c r="A377" s="1" t="s">
        <v>380</v>
      </c>
      <c r="B377" s="53">
        <v>689935</v>
      </c>
      <c r="AA377" s="1" t="s">
        <v>380</v>
      </c>
      <c r="AB377" s="1">
        <v>689935</v>
      </c>
    </row>
    <row r="378" spans="1:28" ht="15.75" customHeight="1">
      <c r="A378" s="1" t="s">
        <v>381</v>
      </c>
      <c r="B378" s="53">
        <v>791236</v>
      </c>
      <c r="AA378" s="1" t="s">
        <v>381</v>
      </c>
      <c r="AB378" s="1">
        <v>791236</v>
      </c>
    </row>
    <row r="379" spans="1:28" ht="15.75" customHeight="1">
      <c r="A379" s="1" t="s">
        <v>382</v>
      </c>
      <c r="B379" s="53">
        <v>778975</v>
      </c>
      <c r="AA379" s="1" t="s">
        <v>382</v>
      </c>
      <c r="AB379" s="1">
        <v>778975</v>
      </c>
    </row>
    <row r="380" spans="1:28" ht="15.75" customHeight="1">
      <c r="A380" s="1" t="s">
        <v>383</v>
      </c>
      <c r="B380" s="53">
        <v>726391</v>
      </c>
      <c r="AA380" s="1" t="s">
        <v>383</v>
      </c>
      <c r="AB380" s="1">
        <v>726391</v>
      </c>
    </row>
    <row r="381" spans="1:28" ht="15.75" customHeight="1">
      <c r="A381" s="1" t="s">
        <v>384</v>
      </c>
      <c r="B381" s="53">
        <v>750404</v>
      </c>
      <c r="AA381" s="1" t="s">
        <v>384</v>
      </c>
      <c r="AB381" s="1">
        <v>750404</v>
      </c>
    </row>
    <row r="382" spans="1:28" ht="15.75" customHeight="1">
      <c r="A382" s="1" t="s">
        <v>385</v>
      </c>
      <c r="B382" s="53">
        <v>882107</v>
      </c>
      <c r="AA382" s="1" t="s">
        <v>385</v>
      </c>
      <c r="AB382" s="1">
        <v>882107</v>
      </c>
    </row>
    <row r="383" spans="1:28" ht="15.75" customHeight="1">
      <c r="A383" s="1" t="s">
        <v>386</v>
      </c>
      <c r="B383" s="53">
        <v>844649</v>
      </c>
      <c r="AA383" s="1" t="s">
        <v>386</v>
      </c>
      <c r="AB383" s="1">
        <v>844649</v>
      </c>
    </row>
    <row r="384" spans="1:28" ht="15.75" customHeight="1">
      <c r="A384" s="1" t="s">
        <v>387</v>
      </c>
      <c r="B384" s="52">
        <v>799496</v>
      </c>
      <c r="AA384" s="1" t="s">
        <v>387</v>
      </c>
      <c r="AB384" s="1">
        <v>799496</v>
      </c>
    </row>
    <row r="385" spans="1:28" ht="15.75" customHeight="1">
      <c r="A385" s="1" t="s">
        <v>388</v>
      </c>
      <c r="B385" s="53">
        <v>844953</v>
      </c>
      <c r="AA385" s="1" t="s">
        <v>388</v>
      </c>
      <c r="AB385" s="1">
        <v>844953</v>
      </c>
    </row>
    <row r="386" spans="1:28" ht="15.75" customHeight="1">
      <c r="A386" s="1" t="s">
        <v>389</v>
      </c>
      <c r="B386" s="52">
        <v>830173</v>
      </c>
      <c r="AA386" s="1" t="s">
        <v>389</v>
      </c>
      <c r="AB386" s="1">
        <v>830173</v>
      </c>
    </row>
    <row r="387" spans="1:28" ht="15.75" customHeight="1">
      <c r="A387" s="1" t="s">
        <v>390</v>
      </c>
      <c r="B387" s="52">
        <v>972233</v>
      </c>
      <c r="AA387" s="1" t="s">
        <v>390</v>
      </c>
      <c r="AB387" s="1">
        <v>972233</v>
      </c>
    </row>
    <row r="388" spans="1:28" ht="15.75" customHeight="1">
      <c r="A388" s="1" t="s">
        <v>391</v>
      </c>
      <c r="B388" s="52">
        <v>908495</v>
      </c>
      <c r="AA388" s="1" t="s">
        <v>391</v>
      </c>
      <c r="AB388" s="1">
        <v>908495</v>
      </c>
    </row>
    <row r="389" spans="1:28" ht="15.75" customHeight="1">
      <c r="A389" s="1" t="s">
        <v>392</v>
      </c>
      <c r="B389" s="52">
        <v>857387</v>
      </c>
      <c r="AA389" s="1" t="s">
        <v>392</v>
      </c>
      <c r="AB389" s="1">
        <v>857387</v>
      </c>
    </row>
    <row r="390" spans="1:28" ht="15.75" customHeight="1">
      <c r="A390" s="1" t="s">
        <v>393</v>
      </c>
      <c r="B390" s="52">
        <v>928903</v>
      </c>
      <c r="AA390" s="1" t="s">
        <v>393</v>
      </c>
      <c r="AB390" s="1">
        <v>928903</v>
      </c>
    </row>
    <row r="391" spans="1:28" ht="15.75" customHeight="1">
      <c r="A391" s="1" t="s">
        <v>394</v>
      </c>
      <c r="B391" s="52">
        <v>939013</v>
      </c>
      <c r="AA391" s="1" t="s">
        <v>394</v>
      </c>
      <c r="AB391" s="1">
        <v>939013</v>
      </c>
    </row>
    <row r="392" spans="1:28" ht="15.75" customHeight="1">
      <c r="A392" s="1" t="s">
        <v>395</v>
      </c>
      <c r="B392" s="52">
        <v>946676</v>
      </c>
      <c r="AA392" s="1" t="s">
        <v>395</v>
      </c>
      <c r="AB392" s="1">
        <v>946676</v>
      </c>
    </row>
    <row r="393" spans="1:28" ht="15.75" customHeight="1">
      <c r="A393" s="1" t="s">
        <v>396</v>
      </c>
      <c r="B393" s="52">
        <v>951032</v>
      </c>
      <c r="AA393" s="1" t="s">
        <v>396</v>
      </c>
      <c r="AB393" s="1">
        <v>951032</v>
      </c>
    </row>
    <row r="394" spans="1:28" ht="15.75" customHeight="1">
      <c r="A394" s="1" t="s">
        <v>397</v>
      </c>
      <c r="B394" s="52">
        <v>1095047</v>
      </c>
      <c r="AA394" s="1" t="s">
        <v>397</v>
      </c>
      <c r="AB394" s="1">
        <v>1095047</v>
      </c>
    </row>
    <row r="395" spans="1:28" ht="15.75" customHeight="1">
      <c r="A395" s="1" t="s">
        <v>398</v>
      </c>
      <c r="B395" s="52">
        <v>996899</v>
      </c>
      <c r="AA395" s="1" t="s">
        <v>398</v>
      </c>
      <c r="AB395" s="1">
        <v>996899</v>
      </c>
    </row>
    <row r="396" spans="1:28" ht="15.75" customHeight="1">
      <c r="A396" s="1" t="s">
        <v>399</v>
      </c>
      <c r="B396" s="52">
        <v>947585</v>
      </c>
      <c r="AA396" s="1" t="s">
        <v>399</v>
      </c>
      <c r="AB396" s="1">
        <v>947585</v>
      </c>
    </row>
    <row r="397" spans="1:28" ht="15.75" customHeight="1">
      <c r="A397" s="1" t="s">
        <v>400</v>
      </c>
      <c r="B397" s="52">
        <v>978913</v>
      </c>
      <c r="AA397" s="1" t="s">
        <v>400</v>
      </c>
      <c r="AB397" s="1">
        <v>978913</v>
      </c>
    </row>
    <row r="398" spans="1:28" ht="15.75" customHeight="1">
      <c r="A398" s="1" t="s">
        <v>401</v>
      </c>
      <c r="B398" s="52">
        <v>964170</v>
      </c>
      <c r="AA398" s="1" t="s">
        <v>401</v>
      </c>
      <c r="AB398" s="1">
        <v>964170</v>
      </c>
    </row>
    <row r="399" spans="1:28" ht="15.75" customHeight="1">
      <c r="A399" s="1" t="s">
        <v>402</v>
      </c>
      <c r="B399" s="52">
        <v>1127581</v>
      </c>
      <c r="AA399" s="1" t="s">
        <v>402</v>
      </c>
      <c r="AB399" s="1">
        <v>1127581</v>
      </c>
    </row>
    <row r="400" spans="1:28" ht="15.75" customHeight="1">
      <c r="A400" s="1" t="s">
        <v>403</v>
      </c>
      <c r="B400" s="52">
        <v>1055990</v>
      </c>
      <c r="AA400" s="1" t="s">
        <v>403</v>
      </c>
      <c r="AB400" s="1">
        <v>1055990</v>
      </c>
    </row>
    <row r="401" spans="1:28" ht="15.75" customHeight="1">
      <c r="A401" s="1" t="s">
        <v>404</v>
      </c>
      <c r="B401" s="52">
        <v>990118</v>
      </c>
      <c r="AA401" s="1" t="s">
        <v>404</v>
      </c>
      <c r="AB401" s="1">
        <v>990118</v>
      </c>
    </row>
    <row r="402" spans="1:28" ht="15.75" customHeight="1">
      <c r="A402" s="1" t="s">
        <v>405</v>
      </c>
      <c r="B402" s="52">
        <v>1071960</v>
      </c>
      <c r="AA402" s="1" t="s">
        <v>405</v>
      </c>
      <c r="AB402" s="1">
        <v>1071960</v>
      </c>
    </row>
    <row r="403" spans="1:28" ht="15.75" customHeight="1">
      <c r="A403" s="1" t="s">
        <v>406</v>
      </c>
      <c r="B403" s="52">
        <v>1103320</v>
      </c>
      <c r="AA403" s="1" t="s">
        <v>406</v>
      </c>
      <c r="AB403" s="1">
        <v>1103320</v>
      </c>
    </row>
    <row r="404" spans="1:28" ht="15.75" customHeight="1">
      <c r="A404" s="1" t="s">
        <v>407</v>
      </c>
      <c r="B404" s="52">
        <v>1054104</v>
      </c>
      <c r="AA404" s="1" t="s">
        <v>407</v>
      </c>
      <c r="AB404" s="1">
        <v>1054104</v>
      </c>
    </row>
    <row r="405" spans="1:28" ht="15.75" customHeight="1">
      <c r="A405" s="1" t="s">
        <v>408</v>
      </c>
      <c r="B405" s="52">
        <v>1080066</v>
      </c>
      <c r="AA405" s="1" t="s">
        <v>408</v>
      </c>
      <c r="AB405" s="1">
        <v>1080066</v>
      </c>
    </row>
    <row r="406" spans="1:28" ht="15.75" customHeight="1">
      <c r="A406" s="1" t="s">
        <v>409</v>
      </c>
      <c r="B406" s="52">
        <v>1273870</v>
      </c>
      <c r="AA406" s="1" t="s">
        <v>409</v>
      </c>
      <c r="AB406" s="1">
        <v>1273870</v>
      </c>
    </row>
    <row r="407" spans="1:28" ht="15.75" customHeight="1">
      <c r="A407" s="1" t="s">
        <v>410</v>
      </c>
      <c r="B407" s="52">
        <v>1178511</v>
      </c>
      <c r="AA407" s="1" t="s">
        <v>410</v>
      </c>
      <c r="AB407" s="1">
        <v>1178511</v>
      </c>
    </row>
    <row r="408" spans="1:28" ht="15.75" customHeight="1">
      <c r="A408" s="1" t="s">
        <v>411</v>
      </c>
      <c r="B408" s="52">
        <v>1033747</v>
      </c>
      <c r="AA408" s="1" t="s">
        <v>411</v>
      </c>
      <c r="AB408" s="1">
        <v>1033747</v>
      </c>
    </row>
    <row r="409" spans="1:28" ht="15.75" customHeight="1">
      <c r="A409" s="1" t="s">
        <v>412</v>
      </c>
      <c r="B409" s="52">
        <v>1085193</v>
      </c>
      <c r="AA409" s="1" t="s">
        <v>412</v>
      </c>
      <c r="AB409" s="1">
        <v>1085193</v>
      </c>
    </row>
    <row r="410" spans="1:28" ht="15.75" customHeight="1">
      <c r="A410" s="1" t="s">
        <v>413</v>
      </c>
      <c r="B410" s="52">
        <v>1027787</v>
      </c>
      <c r="AA410" s="1" t="s">
        <v>413</v>
      </c>
      <c r="AB410" s="1">
        <v>1027787</v>
      </c>
    </row>
    <row r="411" spans="1:28" ht="15.75" customHeight="1">
      <c r="A411" s="1" t="s">
        <v>414</v>
      </c>
      <c r="B411" s="52">
        <v>1216637</v>
      </c>
      <c r="AA411" s="1" t="s">
        <v>414</v>
      </c>
      <c r="AB411" s="1">
        <v>1216637</v>
      </c>
    </row>
    <row r="412" spans="1:28" ht="15.75" customHeight="1">
      <c r="A412" s="1" t="s">
        <v>415</v>
      </c>
      <c r="B412" s="52">
        <v>1198507</v>
      </c>
      <c r="AA412" s="1" t="s">
        <v>415</v>
      </c>
      <c r="AB412" s="1">
        <v>1198507</v>
      </c>
    </row>
    <row r="413" spans="1:28" ht="15.75" customHeight="1">
      <c r="A413" s="1" t="s">
        <v>416</v>
      </c>
      <c r="B413" s="52">
        <v>1134554</v>
      </c>
      <c r="AA413" s="1" t="s">
        <v>416</v>
      </c>
      <c r="AB413" s="1">
        <v>1134554</v>
      </c>
    </row>
    <row r="414" spans="1:28" ht="15.75" customHeight="1">
      <c r="A414" s="1" t="s">
        <v>417</v>
      </c>
      <c r="B414" s="52">
        <v>1243133</v>
      </c>
      <c r="AA414" s="1" t="s">
        <v>417</v>
      </c>
      <c r="AB414" s="1">
        <v>1243133</v>
      </c>
    </row>
    <row r="415" spans="1:28" ht="15.75" customHeight="1">
      <c r="A415" s="1" t="s">
        <v>418</v>
      </c>
      <c r="B415" s="52">
        <v>1201953</v>
      </c>
      <c r="AA415" s="1" t="s">
        <v>418</v>
      </c>
      <c r="AB415" s="1">
        <v>1201953</v>
      </c>
    </row>
    <row r="416" spans="1:28" ht="15.75" customHeight="1">
      <c r="A416" s="1" t="s">
        <v>419</v>
      </c>
      <c r="B416" s="52">
        <v>1146448</v>
      </c>
      <c r="AA416" s="1" t="s">
        <v>419</v>
      </c>
      <c r="AB416" s="1">
        <v>1146448</v>
      </c>
    </row>
    <row r="417" spans="1:28" ht="15.75" customHeight="1">
      <c r="A417" s="1" t="s">
        <v>420</v>
      </c>
      <c r="B417" s="52">
        <v>1157739</v>
      </c>
      <c r="AA417" s="1" t="s">
        <v>420</v>
      </c>
      <c r="AB417" s="1">
        <v>1157739</v>
      </c>
    </row>
    <row r="418" spans="1:28" ht="15.75" customHeight="1">
      <c r="A418" s="1" t="s">
        <v>421</v>
      </c>
      <c r="B418" s="52">
        <v>1283611</v>
      </c>
      <c r="AA418" s="1" t="s">
        <v>421</v>
      </c>
      <c r="AB418" s="1">
        <v>1283611</v>
      </c>
    </row>
    <row r="419" spans="1:28" ht="15.75" customHeight="1">
      <c r="A419" s="1" t="s">
        <v>422</v>
      </c>
      <c r="B419" s="52">
        <v>1313604</v>
      </c>
      <c r="AA419" s="1" t="s">
        <v>422</v>
      </c>
      <c r="AB419" s="1">
        <v>1313604</v>
      </c>
    </row>
    <row r="420" spans="1:28" ht="15.75" customHeight="1">
      <c r="A420" s="1" t="s">
        <v>423</v>
      </c>
      <c r="B420" s="52">
        <v>1051348</v>
      </c>
      <c r="AA420" s="1" t="s">
        <v>423</v>
      </c>
      <c r="AB420" s="1">
        <v>1051348</v>
      </c>
    </row>
    <row r="421" spans="1:28" ht="15.75" customHeight="1">
      <c r="A421" s="1" t="s">
        <v>424</v>
      </c>
      <c r="B421" s="52">
        <v>1192580</v>
      </c>
      <c r="AA421" s="1" t="s">
        <v>424</v>
      </c>
      <c r="AB421" s="1">
        <v>1192580</v>
      </c>
    </row>
    <row r="422" spans="1:28" ht="15.75" customHeight="1">
      <c r="A422" s="1" t="s">
        <v>425</v>
      </c>
      <c r="B422" s="52">
        <v>1212079</v>
      </c>
      <c r="AA422" s="1" t="s">
        <v>425</v>
      </c>
      <c r="AB422" s="1">
        <v>1212079</v>
      </c>
    </row>
    <row r="423" spans="1:28" ht="15.75" customHeight="1">
      <c r="A423" s="1" t="s">
        <v>426</v>
      </c>
      <c r="B423" s="52">
        <v>1360536</v>
      </c>
      <c r="AA423" s="1" t="s">
        <v>426</v>
      </c>
      <c r="AB423" s="1">
        <v>1360536</v>
      </c>
    </row>
    <row r="424" spans="1:28" ht="15.75" customHeight="1">
      <c r="A424" s="1" t="s">
        <v>427</v>
      </c>
      <c r="B424" s="52">
        <v>1291718</v>
      </c>
      <c r="AA424" s="1" t="s">
        <v>427</v>
      </c>
      <c r="AB424" s="1">
        <v>1291718</v>
      </c>
    </row>
    <row r="425" spans="1:28" ht="15.75" customHeight="1">
      <c r="A425" s="1" t="s">
        <v>428</v>
      </c>
      <c r="B425" s="52">
        <v>1221365</v>
      </c>
      <c r="AA425" s="1" t="s">
        <v>428</v>
      </c>
      <c r="AB425" s="1">
        <v>1221365</v>
      </c>
    </row>
    <row r="426" spans="1:28" ht="15.75" customHeight="1">
      <c r="A426" s="1" t="s">
        <v>429</v>
      </c>
      <c r="B426" s="52">
        <v>1368891</v>
      </c>
      <c r="AA426" s="1" t="s">
        <v>429</v>
      </c>
      <c r="AB426" s="1">
        <v>1368891</v>
      </c>
    </row>
    <row r="427" spans="1:28" ht="15.75" customHeight="1">
      <c r="A427" s="1" t="s">
        <v>430</v>
      </c>
      <c r="B427" s="52">
        <v>1274246</v>
      </c>
      <c r="AA427" s="1" t="s">
        <v>430</v>
      </c>
      <c r="AB427" s="1">
        <v>1274246</v>
      </c>
    </row>
    <row r="428" spans="1:28" ht="15.75" customHeight="1">
      <c r="A428" s="1" t="s">
        <v>431</v>
      </c>
      <c r="B428" s="52">
        <v>1288282</v>
      </c>
      <c r="AA428" s="1" t="s">
        <v>431</v>
      </c>
      <c r="AB428" s="1">
        <v>1288282</v>
      </c>
    </row>
    <row r="429" spans="1:28" ht="15.75" customHeight="1">
      <c r="A429" s="1" t="s">
        <v>432</v>
      </c>
      <c r="B429" s="52">
        <v>1288950</v>
      </c>
      <c r="AA429" s="1" t="s">
        <v>432</v>
      </c>
      <c r="AB429" s="1">
        <v>1288950</v>
      </c>
    </row>
    <row r="430" spans="1:28" ht="15.75" customHeight="1">
      <c r="A430" s="1" t="s">
        <v>433</v>
      </c>
      <c r="B430" s="52">
        <v>1419657</v>
      </c>
      <c r="AA430" s="1" t="s">
        <v>433</v>
      </c>
      <c r="AB430" s="1">
        <v>1419657</v>
      </c>
    </row>
    <row r="431" spans="1:28" ht="15.75" customHeight="1">
      <c r="A431" s="1" t="s">
        <v>434</v>
      </c>
      <c r="B431" s="52">
        <v>1483520</v>
      </c>
      <c r="AA431" s="1" t="s">
        <v>434</v>
      </c>
      <c r="AB431" s="1">
        <v>1483520</v>
      </c>
    </row>
    <row r="432" spans="1:28" ht="15.75" customHeight="1">
      <c r="A432" s="1" t="s">
        <v>435</v>
      </c>
      <c r="B432" s="52">
        <v>1176142</v>
      </c>
      <c r="AA432" s="1" t="s">
        <v>435</v>
      </c>
      <c r="AB432" s="1">
        <v>1176142</v>
      </c>
    </row>
    <row r="433" spans="1:28" ht="15.75" customHeight="1">
      <c r="A433" s="1" t="s">
        <v>436</v>
      </c>
      <c r="B433" s="52">
        <v>1203746</v>
      </c>
      <c r="AA433" s="1" t="s">
        <v>436</v>
      </c>
      <c r="AB433" s="1">
        <v>1203746</v>
      </c>
    </row>
    <row r="434" spans="1:28" ht="15.75" customHeight="1">
      <c r="A434" s="1" t="s">
        <v>437</v>
      </c>
      <c r="B434" s="53">
        <v>1184002</v>
      </c>
      <c r="AA434" s="1" t="s">
        <v>437</v>
      </c>
      <c r="AB434" s="1">
        <v>1184002</v>
      </c>
    </row>
    <row r="435" spans="1:28" ht="15.75" customHeight="1">
      <c r="A435" s="1" t="s">
        <v>438</v>
      </c>
      <c r="B435" s="52">
        <v>1367404</v>
      </c>
      <c r="AA435" s="1" t="s">
        <v>438</v>
      </c>
      <c r="AB435" s="1">
        <v>1367404</v>
      </c>
    </row>
    <row r="436" spans="1:28" ht="15.75" customHeight="1">
      <c r="A436" s="1" t="s">
        <v>439</v>
      </c>
      <c r="B436" s="52">
        <v>1345842</v>
      </c>
      <c r="AA436" s="1" t="s">
        <v>439</v>
      </c>
      <c r="AB436" s="1">
        <v>1345842</v>
      </c>
    </row>
    <row r="437" spans="1:28" ht="15.75" customHeight="1">
      <c r="A437" s="1" t="s">
        <v>440</v>
      </c>
      <c r="B437" s="52">
        <v>1238239</v>
      </c>
      <c r="AA437" s="1" t="s">
        <v>440</v>
      </c>
      <c r="AB437" s="1">
        <v>1238239</v>
      </c>
    </row>
    <row r="438" spans="1:28" ht="15.75" customHeight="1">
      <c r="A438" s="1" t="s">
        <v>441</v>
      </c>
      <c r="B438" s="53">
        <v>1297551</v>
      </c>
      <c r="AA438" s="1" t="s">
        <v>441</v>
      </c>
      <c r="AB438" s="1">
        <v>1297551</v>
      </c>
    </row>
    <row r="439" spans="1:28" ht="15.75" customHeight="1">
      <c r="A439" s="1" t="s">
        <v>442</v>
      </c>
      <c r="B439" s="53">
        <v>1245307</v>
      </c>
      <c r="AA439" s="1" t="s">
        <v>442</v>
      </c>
      <c r="AB439" s="1">
        <v>1245307</v>
      </c>
    </row>
    <row r="440" spans="1:28" ht="15.75" customHeight="1">
      <c r="A440" s="1" t="s">
        <v>443</v>
      </c>
      <c r="B440" s="53">
        <v>1208532</v>
      </c>
      <c r="AA440" s="1" t="s">
        <v>443</v>
      </c>
      <c r="AB440" s="1">
        <v>1208532</v>
      </c>
    </row>
    <row r="441" spans="1:28" ht="15.75" customHeight="1">
      <c r="A441" s="1" t="s">
        <v>444</v>
      </c>
      <c r="B441" s="53">
        <v>1181422</v>
      </c>
      <c r="AA441" s="1" t="s">
        <v>444</v>
      </c>
      <c r="AB441" s="1">
        <v>1181422</v>
      </c>
    </row>
    <row r="442" spans="1:28" ht="15.75" customHeight="1">
      <c r="A442" s="1" t="s">
        <v>445</v>
      </c>
      <c r="B442" s="53">
        <v>1408400</v>
      </c>
      <c r="AA442" s="1" t="s">
        <v>445</v>
      </c>
      <c r="AB442" s="1">
        <v>1408400</v>
      </c>
    </row>
    <row r="443" spans="1:28" ht="15.75" customHeight="1">
      <c r="A443" s="1" t="s">
        <v>446</v>
      </c>
      <c r="B443" s="53">
        <v>1362935</v>
      </c>
      <c r="AA443" s="1" t="s">
        <v>446</v>
      </c>
      <c r="AB443" s="1">
        <v>1362935</v>
      </c>
    </row>
    <row r="444" spans="1:28" ht="15.75" customHeight="1">
      <c r="A444" s="1" t="s">
        <v>447</v>
      </c>
      <c r="B444" s="53">
        <v>1098626</v>
      </c>
      <c r="AA444" s="1" t="s">
        <v>447</v>
      </c>
      <c r="AB444" s="1">
        <v>1098626</v>
      </c>
    </row>
    <row r="445" spans="1:28" ht="15.75" customHeight="1">
      <c r="A445" s="1" t="s">
        <v>448</v>
      </c>
      <c r="B445" s="53">
        <v>1203527</v>
      </c>
      <c r="AA445" s="1" t="s">
        <v>448</v>
      </c>
      <c r="AB445" s="1">
        <v>1203527</v>
      </c>
    </row>
    <row r="446" spans="1:28" ht="15.75" customHeight="1">
      <c r="A446" s="1" t="s">
        <v>449</v>
      </c>
      <c r="B446" s="53">
        <v>1144230</v>
      </c>
      <c r="AA446" s="1" t="s">
        <v>449</v>
      </c>
      <c r="AB446" s="1">
        <v>1144230</v>
      </c>
    </row>
    <row r="447" spans="1:28" ht="15.75" customHeight="1">
      <c r="A447" s="1" t="s">
        <v>450</v>
      </c>
      <c r="B447" s="53">
        <v>1360541</v>
      </c>
      <c r="AA447" s="1" t="s">
        <v>450</v>
      </c>
      <c r="AB447" s="1">
        <v>1360541</v>
      </c>
    </row>
    <row r="448" spans="1:28" ht="15.75" customHeight="1">
      <c r="A448" s="1" t="s">
        <v>451</v>
      </c>
      <c r="B448" s="53">
        <v>1252598</v>
      </c>
      <c r="AA448" s="1" t="s">
        <v>451</v>
      </c>
      <c r="AB448" s="1">
        <v>1252598</v>
      </c>
    </row>
    <row r="449" spans="1:28" ht="15.75" customHeight="1">
      <c r="A449" s="1" t="s">
        <v>452</v>
      </c>
      <c r="B449" s="53">
        <v>1188818</v>
      </c>
      <c r="AA449" s="1" t="s">
        <v>452</v>
      </c>
      <c r="AB449" s="1">
        <v>1188818</v>
      </c>
    </row>
    <row r="450" spans="1:28" ht="15.75" customHeight="1">
      <c r="A450" s="1" t="s">
        <v>453</v>
      </c>
      <c r="B450" s="53">
        <v>1201648</v>
      </c>
      <c r="AA450" s="1" t="s">
        <v>453</v>
      </c>
      <c r="AB450" s="1">
        <v>1201648</v>
      </c>
    </row>
    <row r="451" spans="1:28" ht="15.75" customHeight="1">
      <c r="A451" s="1" t="s">
        <v>454</v>
      </c>
      <c r="B451" s="53">
        <v>1208621</v>
      </c>
      <c r="AA451" s="1" t="s">
        <v>454</v>
      </c>
      <c r="AB451" s="1">
        <v>1208621</v>
      </c>
    </row>
    <row r="452" spans="1:28" ht="15.75" customHeight="1">
      <c r="A452" s="1" t="s">
        <v>455</v>
      </c>
      <c r="B452" s="52">
        <v>1222836</v>
      </c>
      <c r="AA452" s="1" t="s">
        <v>455</v>
      </c>
      <c r="AB452" s="1">
        <v>1222836</v>
      </c>
    </row>
    <row r="453" spans="1:28" ht="15.75" customHeight="1">
      <c r="A453" s="1" t="s">
        <v>456</v>
      </c>
      <c r="B453" s="52">
        <v>1184744</v>
      </c>
      <c r="AA453" s="1" t="s">
        <v>456</v>
      </c>
      <c r="AB453" s="1">
        <v>1184744</v>
      </c>
    </row>
    <row r="454" spans="1:28" ht="15.75" customHeight="1">
      <c r="A454" s="1" t="s">
        <v>457</v>
      </c>
      <c r="B454" s="52">
        <v>1519188</v>
      </c>
      <c r="AA454" s="1" t="s">
        <v>457</v>
      </c>
      <c r="AB454" s="1">
        <v>1519188</v>
      </c>
    </row>
    <row r="455" spans="1:28" ht="15.75" customHeight="1">
      <c r="A455" s="1" t="s">
        <v>458</v>
      </c>
      <c r="B455" s="52">
        <v>1445052</v>
      </c>
      <c r="AA455" s="1" t="s">
        <v>458</v>
      </c>
      <c r="AB455" s="1">
        <v>1445052</v>
      </c>
    </row>
    <row r="456" spans="1:28" ht="15.75" customHeight="1">
      <c r="A456" s="1" t="s">
        <v>459</v>
      </c>
      <c r="B456" s="52">
        <v>1131967</v>
      </c>
      <c r="AA456" s="1" t="s">
        <v>459</v>
      </c>
      <c r="AB456" s="1">
        <v>1131967</v>
      </c>
    </row>
    <row r="457" spans="1:28" ht="15.75" customHeight="1">
      <c r="A457" s="1" t="s">
        <v>460</v>
      </c>
      <c r="B457" s="52">
        <v>1246706</v>
      </c>
      <c r="AA457" s="1" t="s">
        <v>460</v>
      </c>
      <c r="AB457" s="1">
        <v>1246706</v>
      </c>
    </row>
    <row r="458" spans="1:28" ht="15.75" customHeight="1">
      <c r="A458" s="1" t="s">
        <v>461</v>
      </c>
      <c r="B458" s="52">
        <v>1193906</v>
      </c>
      <c r="AA458" s="1" t="s">
        <v>461</v>
      </c>
      <c r="AB458" s="1">
        <v>1193906</v>
      </c>
    </row>
    <row r="459" spans="1:28" ht="15.75" customHeight="1"/>
    <row r="460" spans="1:28" ht="15.75" customHeight="1"/>
    <row r="461" spans="1:28" ht="15.75" customHeight="1"/>
    <row r="462" spans="1:28" ht="15.75" customHeight="1"/>
    <row r="463" spans="1:28" ht="15.75" customHeight="1"/>
    <row r="464" spans="1:28"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row r="1135" ht="15.75" customHeight="1"/>
    <row r="1136" ht="15.75" customHeight="1"/>
    <row r="1137" ht="15.75" customHeight="1"/>
    <row r="1138" ht="15.75" customHeight="1"/>
    <row r="1139" ht="15.75" customHeight="1"/>
    <row r="1140" ht="15.75" customHeight="1"/>
    <row r="1141" ht="15.75" customHeight="1"/>
    <row r="1142" ht="15.75" customHeight="1"/>
    <row r="1143" ht="15.75" customHeight="1"/>
    <row r="1144" ht="15.75" customHeight="1"/>
    <row r="1145" ht="15.75" customHeight="1"/>
    <row r="1146" ht="15.75" customHeight="1"/>
    <row r="1147" ht="15.75" customHeight="1"/>
    <row r="1148" ht="15.75" customHeight="1"/>
    <row r="1149" ht="15.75" customHeight="1"/>
    <row r="1150" ht="15.75" customHeight="1"/>
    <row r="1151" ht="15.75" customHeight="1"/>
    <row r="1152" ht="15.75" customHeight="1"/>
    <row r="1153" ht="15.75" customHeight="1"/>
    <row r="1154" ht="15.75" customHeight="1"/>
    <row r="1155" ht="15.75" customHeight="1"/>
    <row r="1156" ht="15.75" customHeight="1"/>
    <row r="1157" ht="15.75" customHeight="1"/>
    <row r="1158" ht="15.75" customHeight="1"/>
    <row r="1159" ht="15.75" customHeight="1"/>
    <row r="1160" ht="15.75" customHeight="1"/>
    <row r="1161" ht="15.75" customHeight="1"/>
    <row r="1162" ht="15.75" customHeight="1"/>
    <row r="1163" ht="15.75" customHeight="1"/>
    <row r="1164" ht="15.75" customHeight="1"/>
    <row r="1165" ht="15.75" customHeight="1"/>
    <row r="1166" ht="15.75" customHeight="1"/>
    <row r="1167" ht="15.75" customHeight="1"/>
    <row r="1168" ht="15.75" customHeight="1"/>
    <row r="1169" ht="15.75" customHeight="1"/>
    <row r="1170" ht="15.75" customHeight="1"/>
    <row r="1171" ht="15.75" customHeight="1"/>
    <row r="1172" ht="15.75" customHeight="1"/>
    <row r="1173" ht="15.75" customHeight="1"/>
    <row r="1174" ht="15.75" customHeight="1"/>
    <row r="1175" ht="15.75" customHeight="1"/>
    <row r="1176" ht="15.75" customHeight="1"/>
    <row r="1177" ht="15.75" customHeight="1"/>
    <row r="1178" ht="15.75" customHeight="1"/>
    <row r="1179" ht="15.75" customHeight="1"/>
    <row r="1180" ht="15.75" customHeight="1"/>
    <row r="1181" ht="15.75" customHeight="1"/>
    <row r="1182" ht="15.75" customHeight="1"/>
    <row r="1183" ht="15.75" customHeight="1"/>
    <row r="1184" ht="15.75" customHeight="1"/>
    <row r="1185" ht="15.75" customHeight="1"/>
    <row r="1186" ht="15.75" customHeight="1"/>
    <row r="1187" ht="15.75" customHeight="1"/>
    <row r="1188" ht="15.75" customHeight="1"/>
    <row r="1189" ht="15.75" customHeight="1"/>
    <row r="1190" ht="15.75" customHeight="1"/>
    <row r="1191" ht="15.75" customHeight="1"/>
    <row r="1192" ht="15.75" customHeight="1"/>
    <row r="1193" ht="15.75" customHeight="1"/>
    <row r="1194" ht="15.75" customHeight="1"/>
    <row r="1195" ht="15.75" customHeight="1"/>
    <row r="1196" ht="15.75" customHeight="1"/>
    <row r="1197" ht="15.75" customHeight="1"/>
    <row r="1198" ht="15.75" customHeight="1"/>
    <row r="1199" ht="15.75" customHeight="1"/>
    <row r="1200" ht="15.75" customHeight="1"/>
    <row r="1201" ht="15.75" customHeight="1"/>
    <row r="1202" ht="15.75" customHeight="1"/>
    <row r="1203" ht="15.75" customHeight="1"/>
    <row r="1204" ht="15.75" customHeight="1"/>
    <row r="1205" ht="15.75" customHeight="1"/>
    <row r="1206" ht="15.75" customHeight="1"/>
    <row r="1207" ht="15.75" customHeight="1"/>
    <row r="1208" ht="15.75" customHeight="1"/>
    <row r="1209" ht="15.75" customHeight="1"/>
    <row r="1210" ht="15.75" customHeight="1"/>
    <row r="1211" ht="15.75" customHeight="1"/>
    <row r="1212" ht="15.75" customHeight="1"/>
    <row r="1213" ht="15.75" customHeight="1"/>
    <row r="1214" ht="15.75" customHeight="1"/>
    <row r="1215" ht="15.75" customHeight="1"/>
    <row r="1216" ht="15.75" customHeight="1"/>
    <row r="1217" ht="15.75" customHeight="1"/>
    <row r="1218" ht="15.75" customHeight="1"/>
    <row r="1219" ht="15.75" customHeight="1"/>
    <row r="1220" ht="15.75" customHeight="1"/>
    <row r="1221" ht="15.75" customHeight="1"/>
    <row r="1222" ht="15.75" customHeight="1"/>
    <row r="1223" ht="15.75" customHeight="1"/>
    <row r="1224" ht="15.75" customHeight="1"/>
    <row r="1225" ht="15.75" customHeight="1"/>
    <row r="1226" ht="15.75" customHeight="1"/>
    <row r="1227" ht="15.75" customHeight="1"/>
    <row r="1228" ht="15.75" customHeight="1"/>
    <row r="1229" ht="15.75" customHeight="1"/>
    <row r="1230" ht="15.75" customHeight="1"/>
    <row r="1231" ht="15.75" customHeight="1"/>
    <row r="1232" ht="15.75" customHeight="1"/>
    <row r="1233" ht="15.75" customHeight="1"/>
    <row r="1234" ht="15.75" customHeight="1"/>
    <row r="1235" ht="15.75" customHeight="1"/>
    <row r="1236" ht="15.75" customHeight="1"/>
    <row r="1237" ht="15.75" customHeight="1"/>
    <row r="1238" ht="15.75" customHeight="1"/>
    <row r="1239" ht="15.75" customHeight="1"/>
    <row r="1240" ht="15.75" customHeight="1"/>
    <row r="1241" ht="15.75" customHeight="1"/>
    <row r="1242" ht="15.75" customHeight="1"/>
    <row r="1243" ht="15.75" customHeight="1"/>
    <row r="1244" ht="15.75" customHeight="1"/>
    <row r="1245" ht="15.75" customHeight="1"/>
    <row r="1246" ht="15.75" customHeight="1"/>
    <row r="1247" ht="15.75" customHeight="1"/>
    <row r="1248" ht="15.75" customHeight="1"/>
    <row r="1249" ht="15.75" customHeight="1"/>
    <row r="1250" ht="15.75" customHeight="1"/>
    <row r="1251" ht="15.75" customHeight="1"/>
    <row r="1252" ht="15.75" customHeight="1"/>
    <row r="1253" ht="15.75" customHeight="1"/>
    <row r="1254" ht="15.75" customHeight="1"/>
    <row r="1255" ht="15.75" customHeight="1"/>
    <row r="1256" ht="15.75" customHeight="1"/>
    <row r="1257" ht="15.75" customHeight="1"/>
    <row r="1258" ht="15.75" customHeight="1"/>
    <row r="1259" ht="15.75" customHeight="1"/>
    <row r="1260" ht="15.75" customHeight="1"/>
    <row r="1261" ht="15.75" customHeight="1"/>
    <row r="1262" ht="15.75" customHeight="1"/>
    <row r="1263" ht="15.75" customHeight="1"/>
    <row r="1264" ht="15.75" customHeight="1"/>
    <row r="1265" ht="15.75" customHeight="1"/>
    <row r="1266" ht="15.75" customHeight="1"/>
    <row r="1267" ht="15.75" customHeight="1"/>
    <row r="1268" ht="15.75" customHeight="1"/>
    <row r="1269" ht="15.75" customHeight="1"/>
    <row r="1270" ht="15.75" customHeight="1"/>
    <row r="1271" ht="15.75" customHeight="1"/>
    <row r="1272" ht="15.75" customHeight="1"/>
    <row r="1273" ht="15.75" customHeight="1"/>
    <row r="1274" ht="15.75" customHeight="1"/>
    <row r="1275" ht="15.75" customHeight="1"/>
    <row r="1276" ht="15.75" customHeight="1"/>
    <row r="1277" ht="15.75" customHeight="1"/>
    <row r="1278" ht="15.75" customHeight="1"/>
    <row r="1279" ht="15.75" customHeight="1"/>
    <row r="1280" ht="15.75" customHeight="1"/>
    <row r="1281" ht="15.75" customHeight="1"/>
    <row r="1282" ht="15.75" customHeight="1"/>
    <row r="1283" ht="15.75" customHeight="1"/>
    <row r="1284" ht="15.75" customHeight="1"/>
    <row r="1285" ht="15.75" customHeight="1"/>
    <row r="1286" ht="15.75" customHeight="1"/>
    <row r="1287" ht="15.75" customHeight="1"/>
    <row r="1288" ht="15.75" customHeight="1"/>
    <row r="1289" ht="15.75" customHeight="1"/>
    <row r="1290" ht="15.75" customHeight="1"/>
    <row r="1291" ht="15.75" customHeight="1"/>
    <row r="1292" ht="15.75" customHeight="1"/>
    <row r="1293" ht="15.75" customHeight="1"/>
    <row r="1294" ht="15.75" customHeight="1"/>
    <row r="1295" ht="15.75" customHeight="1"/>
    <row r="1296" ht="15.75" customHeight="1"/>
    <row r="1297" ht="15.75" customHeight="1"/>
    <row r="1298" ht="15.75" customHeight="1"/>
    <row r="1299" ht="15.75" customHeight="1"/>
    <row r="1300" ht="15.75" customHeight="1"/>
    <row r="1301" ht="15.75" customHeight="1"/>
    <row r="1302" ht="15.75" customHeight="1"/>
    <row r="1303" ht="15.75" customHeight="1"/>
    <row r="1304" ht="15.75" customHeight="1"/>
    <row r="1305" ht="15.75" customHeight="1"/>
    <row r="1306" ht="15.75" customHeight="1"/>
    <row r="1307" ht="15.75" customHeight="1"/>
    <row r="1308" ht="15.75" customHeight="1"/>
    <row r="1309" ht="15.75" customHeight="1"/>
    <row r="1310" ht="15.75" customHeight="1"/>
    <row r="1311" ht="15.75" customHeight="1"/>
    <row r="1312" ht="15.75" customHeight="1"/>
    <row r="1313" ht="15.75" customHeight="1"/>
    <row r="1314" ht="15.75" customHeight="1"/>
    <row r="1315" ht="15.75" customHeight="1"/>
    <row r="1316" ht="15.75" customHeight="1"/>
    <row r="1317" ht="15.75" customHeight="1"/>
    <row r="1318" ht="15.75" customHeight="1"/>
    <row r="1319" ht="15.75" customHeight="1"/>
    <row r="1320" ht="15.75" customHeight="1"/>
    <row r="1321" ht="15.75" customHeight="1"/>
    <row r="1322" ht="15.75" customHeight="1"/>
    <row r="1323" ht="15.75" customHeight="1"/>
    <row r="1324" ht="15.75" customHeight="1"/>
    <row r="1325" ht="15.75" customHeight="1"/>
    <row r="1326" ht="15.75" customHeight="1"/>
    <row r="1327" ht="15.75" customHeight="1"/>
    <row r="1328" ht="15.75" customHeight="1"/>
    <row r="1329" ht="15.75" customHeight="1"/>
    <row r="1330" ht="15.75" customHeight="1"/>
    <row r="1331" ht="15.75" customHeight="1"/>
    <row r="1332" ht="15.75" customHeight="1"/>
    <row r="1333" ht="15.75" customHeight="1"/>
    <row r="1334" ht="15.75" customHeight="1"/>
    <row r="1335" ht="15.75" customHeight="1"/>
    <row r="1336" ht="15.75" customHeight="1"/>
    <row r="1337" ht="15.75" customHeight="1"/>
    <row r="1338" ht="15.75" customHeight="1"/>
    <row r="1339" ht="15.75" customHeight="1"/>
    <row r="1340" ht="15.75" customHeight="1"/>
    <row r="1341" ht="15.75" customHeight="1"/>
    <row r="1342" ht="15.75" customHeight="1"/>
    <row r="1343" ht="15.75" customHeight="1"/>
    <row r="1344" ht="15.75" customHeight="1"/>
    <row r="1345" ht="15.75" customHeight="1"/>
    <row r="1346" ht="15.75" customHeight="1"/>
    <row r="1347" ht="15.75" customHeight="1"/>
    <row r="1348" ht="15.75" customHeight="1"/>
    <row r="1349" ht="15.75" customHeight="1"/>
    <row r="1350" ht="15.75" customHeight="1"/>
    <row r="1351" ht="15.75" customHeight="1"/>
    <row r="1352" ht="15.75" customHeight="1"/>
    <row r="1353" ht="15.75" customHeight="1"/>
    <row r="1354" ht="15.75" customHeight="1"/>
    <row r="1355" ht="15.75" customHeight="1"/>
    <row r="1356" ht="15.75" customHeight="1"/>
    <row r="1357" ht="15.75" customHeight="1"/>
    <row r="1358" ht="15.75" customHeight="1"/>
    <row r="1359" ht="15.75" customHeight="1"/>
    <row r="1360" ht="15.75" customHeight="1"/>
    <row r="1361" ht="15.75" customHeight="1"/>
    <row r="1362" ht="15.75" customHeight="1"/>
    <row r="1363" ht="15.75" customHeight="1"/>
    <row r="1364" ht="15.75" customHeight="1"/>
    <row r="1365" ht="15.75" customHeight="1"/>
    <row r="1366" ht="15.75" customHeight="1"/>
    <row r="1367" ht="15.75" customHeight="1"/>
    <row r="1368" ht="15.75" customHeight="1"/>
    <row r="1369" ht="15.75" customHeight="1"/>
    <row r="1370" ht="15.75" customHeight="1"/>
    <row r="1371" ht="15.75" customHeight="1"/>
    <row r="1372" ht="15.75" customHeight="1"/>
    <row r="1373" ht="15.75" customHeight="1"/>
    <row r="1374" ht="15.75" customHeight="1"/>
    <row r="1375" ht="15.75" customHeight="1"/>
    <row r="1376" ht="15.75" customHeight="1"/>
    <row r="1377" ht="15.75" customHeight="1"/>
    <row r="1378" ht="15.75" customHeight="1"/>
    <row r="1379" ht="15.75" customHeight="1"/>
    <row r="1380" ht="15.75" customHeight="1"/>
    <row r="1381" ht="15.75" customHeight="1"/>
    <row r="1382" ht="15.75" customHeight="1"/>
    <row r="1383" ht="15.75" customHeight="1"/>
    <row r="1384" ht="15.75" customHeight="1"/>
    <row r="1385" ht="15.75" customHeight="1"/>
    <row r="1386" ht="15.75" customHeight="1"/>
    <row r="1387" ht="15.75" customHeight="1"/>
    <row r="1388" ht="15.75" customHeight="1"/>
    <row r="1389" ht="15.75" customHeight="1"/>
    <row r="1390" ht="15.75" customHeight="1"/>
    <row r="1391" ht="15.75" customHeight="1"/>
    <row r="1392" ht="15.75" customHeight="1"/>
    <row r="1393" ht="15.75" customHeight="1"/>
    <row r="1394" ht="15.75" customHeight="1"/>
    <row r="1395" ht="15.75" customHeight="1"/>
    <row r="1396" ht="15.75" customHeight="1"/>
    <row r="1397" ht="15.75" customHeight="1"/>
    <row r="1398" ht="15.75" customHeight="1"/>
    <row r="1399" ht="15.75" customHeight="1"/>
    <row r="1400" ht="15.75" customHeight="1"/>
    <row r="1401" ht="15.75" customHeight="1"/>
    <row r="1402" ht="15.75" customHeight="1"/>
    <row r="1403" ht="15.75" customHeight="1"/>
    <row r="1404" ht="15.75" customHeight="1"/>
    <row r="1405" ht="15.75" customHeight="1"/>
    <row r="1406" ht="15.75" customHeight="1"/>
    <row r="1407" ht="15.75" customHeight="1"/>
    <row r="1408" ht="15.75" customHeight="1"/>
    <row r="1409" ht="15.75" customHeight="1"/>
    <row r="1410" ht="15.75" customHeight="1"/>
    <row r="1411" ht="15.75" customHeight="1"/>
    <row r="1412" ht="15.75" customHeight="1"/>
    <row r="1413" ht="15.75" customHeight="1"/>
    <row r="1414" ht="15.75" customHeight="1"/>
    <row r="1415" ht="15.75" customHeight="1"/>
    <row r="1416" ht="15.75" customHeight="1"/>
    <row r="1417" ht="15.75" customHeight="1"/>
    <row r="1418" ht="15.75" customHeight="1"/>
    <row r="1419" ht="15.75" customHeight="1"/>
    <row r="1420" ht="15.75" customHeight="1"/>
    <row r="1421" ht="15.75" customHeight="1"/>
    <row r="1422" ht="15.75" customHeight="1"/>
    <row r="1423" ht="15.75" customHeight="1"/>
    <row r="1424" ht="15.75" customHeight="1"/>
    <row r="1425" ht="15.75" customHeight="1"/>
    <row r="1426" ht="15.75" customHeight="1"/>
    <row r="1427" ht="15.75" customHeight="1"/>
    <row r="1428" ht="15.75" customHeight="1"/>
    <row r="1429" ht="15.75" customHeight="1"/>
    <row r="1430" ht="15.75" customHeight="1"/>
    <row r="1431" ht="15.75" customHeight="1"/>
    <row r="1432" ht="15.75" customHeight="1"/>
    <row r="1433" ht="15.75" customHeight="1"/>
    <row r="1434" ht="15.75" customHeight="1"/>
    <row r="1435" ht="15.75" customHeight="1"/>
    <row r="1436" ht="15.75" customHeight="1"/>
    <row r="1437" ht="15.75" customHeight="1"/>
    <row r="1438" ht="15.75" customHeight="1"/>
    <row r="1439" ht="15.75" customHeight="1"/>
    <row r="1440" ht="15.75" customHeight="1"/>
    <row r="1441" ht="15.75" customHeight="1"/>
    <row r="1442" ht="15.75" customHeight="1"/>
    <row r="1443" ht="15.75" customHeight="1"/>
    <row r="1444" ht="15.75" customHeight="1"/>
    <row r="1445" ht="15.75" customHeight="1"/>
    <row r="1446" ht="15.75" customHeight="1"/>
    <row r="1447" ht="15.75" customHeight="1"/>
    <row r="1448" ht="15.75" customHeight="1"/>
    <row r="1449" ht="15.75" customHeight="1"/>
    <row r="1450" ht="15.75" customHeight="1"/>
    <row r="1451" ht="15.75" customHeight="1"/>
    <row r="1452" ht="15.75" customHeight="1"/>
    <row r="1453" ht="15.75" customHeight="1"/>
    <row r="1454" ht="15.75" customHeight="1"/>
    <row r="1455" ht="15.75" customHeight="1"/>
    <row r="1456" ht="15.75" customHeight="1"/>
    <row r="1457" ht="15.75" customHeight="1"/>
    <row r="1458" ht="15.75" customHeight="1"/>
    <row r="1459" ht="15.75" customHeight="1"/>
    <row r="1460" ht="15.75" customHeight="1"/>
    <row r="1461" ht="15.75" customHeight="1"/>
    <row r="1462" ht="15.75" customHeight="1"/>
    <row r="1463" ht="15.75" customHeight="1"/>
    <row r="1464" ht="15.75" customHeight="1"/>
    <row r="1465" ht="15.75" customHeight="1"/>
    <row r="1466" ht="15.75" customHeight="1"/>
    <row r="1467" ht="15.75" customHeight="1"/>
    <row r="1468" ht="15.75" customHeight="1"/>
    <row r="1469" ht="15.75" customHeight="1"/>
    <row r="1470" ht="15.75" customHeight="1"/>
    <row r="1471" ht="15.75" customHeight="1"/>
    <row r="1472" ht="15.75" customHeight="1"/>
    <row r="1473" ht="15.75" customHeight="1"/>
    <row r="1474" ht="15.75" customHeight="1"/>
    <row r="1475" ht="15.75" customHeight="1"/>
    <row r="1476" ht="15.75" customHeight="1"/>
    <row r="1477" ht="15.75" customHeight="1"/>
    <row r="1478" ht="15.75" customHeight="1"/>
    <row r="1479" ht="15.75" customHeight="1"/>
    <row r="1480" ht="15.75" customHeight="1"/>
    <row r="1481" ht="15.75" customHeight="1"/>
    <row r="1482" ht="15.75" customHeight="1"/>
    <row r="1483" ht="15.75" customHeight="1"/>
    <row r="1484" ht="15.75" customHeight="1"/>
    <row r="1485" ht="15.75" customHeight="1"/>
    <row r="1486" ht="15.75" customHeight="1"/>
    <row r="1487" ht="15.75" customHeight="1"/>
    <row r="1488" ht="15.75" customHeight="1"/>
    <row r="1489" ht="15.75" customHeight="1"/>
    <row r="1490" ht="15.75" customHeight="1"/>
    <row r="1491" ht="15.75" customHeight="1"/>
    <row r="1492" ht="15.75" customHeight="1"/>
    <row r="1493" ht="15.75" customHeight="1"/>
    <row r="1494" ht="15.75" customHeight="1"/>
    <row r="1495" ht="15.75" customHeight="1"/>
    <row r="1496" ht="15.75" customHeight="1"/>
    <row r="1497" ht="15.75" customHeight="1"/>
    <row r="1498" ht="15.75" customHeight="1"/>
    <row r="1499" ht="15.75" customHeight="1"/>
    <row r="1500" ht="15.75" customHeight="1"/>
    <row r="1501" ht="15.75" customHeight="1"/>
    <row r="1502" ht="15.75" customHeight="1"/>
    <row r="1503" ht="15.75" customHeight="1"/>
    <row r="1504" ht="15.75" customHeight="1"/>
    <row r="1505" ht="15.75" customHeight="1"/>
    <row r="1506" ht="15.75" customHeight="1"/>
    <row r="1507" ht="15.75" customHeight="1"/>
    <row r="1508" ht="15.75" customHeight="1"/>
    <row r="1509" ht="15.75" customHeight="1"/>
    <row r="1510" ht="15.75" customHeight="1"/>
    <row r="1511" ht="15.75" customHeight="1"/>
    <row r="1512" ht="15.75" customHeight="1"/>
    <row r="1513" ht="15.75" customHeight="1"/>
    <row r="1514" ht="15.75" customHeight="1"/>
    <row r="1515" ht="15.75" customHeight="1"/>
    <row r="1516" ht="15.75" customHeight="1"/>
    <row r="1517" ht="15.75" customHeight="1"/>
    <row r="1518" ht="15.75" customHeight="1"/>
    <row r="1519" ht="15.75" customHeight="1"/>
    <row r="1520" ht="15.75" customHeight="1"/>
    <row r="1521" ht="15.75" customHeight="1"/>
    <row r="1522" ht="15.75" customHeight="1"/>
    <row r="1523" ht="15.75" customHeight="1"/>
    <row r="1524" ht="15.75" customHeight="1"/>
    <row r="1525" ht="15.75" customHeight="1"/>
    <row r="1526" ht="15.75" customHeight="1"/>
    <row r="1527" ht="15.75" customHeight="1"/>
    <row r="1528" ht="15.75" customHeight="1"/>
    <row r="1529" ht="15.75" customHeight="1"/>
    <row r="1530" ht="15.75" customHeight="1"/>
    <row r="1531" ht="15.75" customHeight="1"/>
    <row r="1532" ht="15.75" customHeight="1"/>
    <row r="1533" ht="15.75" customHeight="1"/>
    <row r="1534" ht="15.75" customHeight="1"/>
    <row r="1535" ht="15.75" customHeight="1"/>
    <row r="1536" ht="15.75" customHeight="1"/>
    <row r="1537" ht="15.75" customHeight="1"/>
    <row r="1538" ht="15.75" customHeight="1"/>
    <row r="1539" ht="15.75" customHeight="1"/>
    <row r="1540" ht="15.75" customHeight="1"/>
    <row r="1541" ht="15.75" customHeight="1"/>
    <row r="1542" ht="15.75" customHeight="1"/>
    <row r="1543" ht="15.75" customHeight="1"/>
    <row r="1544" ht="15.75" customHeight="1"/>
    <row r="1545" ht="15.75" customHeight="1"/>
    <row r="1546" ht="15.75" customHeight="1"/>
    <row r="1547" ht="15.75" customHeight="1"/>
    <row r="1548" ht="15.75" customHeight="1"/>
    <row r="1549" ht="15.75" customHeight="1"/>
    <row r="1550" ht="15.75" customHeight="1"/>
    <row r="1551" ht="15.75" customHeight="1"/>
    <row r="1552" ht="15.75" customHeight="1"/>
    <row r="1553" ht="15.75" customHeight="1"/>
    <row r="1554" ht="15.75" customHeight="1"/>
    <row r="1555" ht="15.75" customHeight="1"/>
    <row r="1556" ht="15.75" customHeight="1"/>
    <row r="1557" ht="15.75" customHeight="1"/>
    <row r="1558" ht="15.75" customHeight="1"/>
    <row r="1559" ht="15.75" customHeight="1"/>
    <row r="1560" ht="15.75" customHeight="1"/>
    <row r="1561" ht="15.75" customHeight="1"/>
    <row r="1562" ht="15.75" customHeight="1"/>
    <row r="1563" ht="15.75" customHeight="1"/>
    <row r="1564" ht="15.75" customHeight="1"/>
    <row r="1565" ht="15.75" customHeight="1"/>
    <row r="1566" ht="15.75" customHeight="1"/>
    <row r="1567" ht="15.75" customHeight="1"/>
    <row r="1568" ht="15.75" customHeight="1"/>
    <row r="1569" ht="15.75" customHeight="1"/>
    <row r="1570" ht="15.75" customHeight="1"/>
    <row r="1571" ht="15.75" customHeight="1"/>
    <row r="1572" ht="15.75" customHeight="1"/>
    <row r="1573" ht="15.75" customHeight="1"/>
    <row r="1574" ht="15.75" customHeight="1"/>
    <row r="1575" ht="15.75" customHeight="1"/>
    <row r="1576" ht="15.75" customHeight="1"/>
    <row r="1577" ht="15.75" customHeight="1"/>
    <row r="1578" ht="15.75" customHeight="1"/>
    <row r="1579" ht="15.75" customHeight="1"/>
    <row r="1580" ht="15.75" customHeight="1"/>
    <row r="1581" ht="15.75" customHeight="1"/>
    <row r="1582" ht="15.75" customHeight="1"/>
    <row r="1583" ht="15.75" customHeight="1"/>
    <row r="1584" ht="15.75" customHeight="1"/>
    <row r="1585" ht="15.75" customHeight="1"/>
    <row r="1586" ht="15.75" customHeight="1"/>
    <row r="1587" ht="15.75" customHeight="1"/>
    <row r="1588" ht="15.75" customHeight="1"/>
    <row r="1589" ht="15.75" customHeight="1"/>
    <row r="1590" ht="15.75" customHeight="1"/>
    <row r="1591" ht="15.75" customHeight="1"/>
    <row r="1592" ht="15.75" customHeight="1"/>
    <row r="1593" ht="15.75" customHeight="1"/>
    <row r="1594" ht="15.75" customHeight="1"/>
    <row r="1595" ht="15.75" customHeight="1"/>
    <row r="1596" ht="15.75" customHeight="1"/>
    <row r="1597" ht="15.75" customHeight="1"/>
    <row r="1598" ht="15.75" customHeight="1"/>
    <row r="1599" ht="15.75" customHeight="1"/>
    <row r="1600" ht="15.75" customHeight="1"/>
    <row r="1601" ht="15.75" customHeight="1"/>
    <row r="1602" ht="15.75" customHeight="1"/>
    <row r="1603" ht="15.75" customHeight="1"/>
    <row r="1604" ht="15.75" customHeight="1"/>
    <row r="1605" ht="15.75" customHeight="1"/>
    <row r="1606" ht="15.75" customHeight="1"/>
    <row r="1607" ht="15.75" customHeight="1"/>
    <row r="1608" ht="15.75" customHeight="1"/>
    <row r="1609" ht="15.75" customHeight="1"/>
    <row r="1610" ht="15.75" customHeight="1"/>
    <row r="1611" ht="15.75" customHeight="1"/>
    <row r="1612" ht="15.75" customHeight="1"/>
    <row r="1613" ht="15.75" customHeight="1"/>
    <row r="1614" ht="15.75" customHeight="1"/>
    <row r="1615" ht="15.75" customHeight="1"/>
    <row r="1616" ht="15.75" customHeight="1"/>
    <row r="1617" ht="15.75" customHeight="1"/>
    <row r="1618" ht="15.75" customHeight="1"/>
    <row r="1619" ht="15.75" customHeight="1"/>
    <row r="1620" ht="15.75" customHeight="1"/>
    <row r="1621" ht="15.75" customHeight="1"/>
    <row r="1622" ht="15.75" customHeight="1"/>
    <row r="1623" ht="15.75" customHeight="1"/>
    <row r="1624" ht="15.75" customHeight="1"/>
    <row r="1625" ht="15.75" customHeight="1"/>
    <row r="1626" ht="15.75" customHeight="1"/>
    <row r="1627" ht="15.75" customHeight="1"/>
    <row r="1628" ht="15.75" customHeight="1"/>
    <row r="1629" ht="15.75" customHeight="1"/>
    <row r="1630" ht="15.75" customHeight="1"/>
    <row r="1631" ht="15.75" customHeight="1"/>
    <row r="1632" ht="15.75" customHeight="1"/>
    <row r="1633" ht="15.75" customHeight="1"/>
    <row r="1634" ht="15.75" customHeight="1"/>
    <row r="1635" ht="15.75" customHeight="1"/>
    <row r="1636" ht="15.75" customHeight="1"/>
    <row r="1637" ht="15.75" customHeight="1"/>
    <row r="1638" ht="15.75" customHeight="1"/>
    <row r="1639" ht="15.75" customHeight="1"/>
    <row r="1640" ht="15.75" customHeight="1"/>
    <row r="1641" ht="15.75" customHeight="1"/>
    <row r="1642" ht="15.75" customHeight="1"/>
    <row r="1643" ht="15.75" customHeight="1"/>
    <row r="1644" ht="15.75" customHeight="1"/>
    <row r="1645" ht="15.75" customHeight="1"/>
    <row r="1646" ht="15.75" customHeight="1"/>
    <row r="1647" ht="15.75" customHeight="1"/>
    <row r="1648" ht="15.75" customHeight="1"/>
    <row r="1649" ht="15.75" customHeight="1"/>
    <row r="1650" ht="15.75" customHeight="1"/>
    <row r="1651" ht="15.75" customHeight="1"/>
    <row r="1652" ht="15.75" customHeight="1"/>
    <row r="1653" ht="15.75" customHeight="1"/>
    <row r="1654" ht="15.75" customHeight="1"/>
    <row r="1655" ht="15.75" customHeight="1"/>
    <row r="1656" ht="15.75" customHeight="1"/>
    <row r="1657" ht="15.75" customHeight="1"/>
    <row r="1658" ht="15.75" customHeight="1"/>
    <row r="1659" ht="15.75" customHeight="1"/>
    <row r="1660" ht="15.75" customHeight="1"/>
    <row r="1661" ht="15.75" customHeight="1"/>
    <row r="1662" ht="15.75" customHeight="1"/>
    <row r="1663" ht="15.75" customHeight="1"/>
    <row r="1664" ht="15.75" customHeight="1"/>
    <row r="1665" ht="15.75" customHeight="1"/>
    <row r="1666" ht="15.75" customHeight="1"/>
    <row r="1667" ht="15.75" customHeight="1"/>
    <row r="1668" ht="15.75" customHeight="1"/>
    <row r="1669" ht="15.75" customHeight="1"/>
    <row r="1670" ht="15.75" customHeight="1"/>
    <row r="1671" ht="15.75" customHeight="1"/>
    <row r="1672" ht="15.75" customHeight="1"/>
    <row r="1673" ht="15.75" customHeight="1"/>
    <row r="1674" ht="15.75" customHeight="1"/>
    <row r="1675" ht="15.75" customHeight="1"/>
    <row r="1676" ht="15.75" customHeight="1"/>
    <row r="1677" ht="15.75" customHeight="1"/>
    <row r="1678" ht="15.75" customHeight="1"/>
    <row r="1679" ht="15.75" customHeight="1"/>
    <row r="1680" ht="15.75" customHeight="1"/>
    <row r="1681" ht="15.75" customHeight="1"/>
    <row r="1682" ht="15.75" customHeight="1"/>
    <row r="1683" ht="15.75" customHeight="1"/>
    <row r="1684" ht="15.75" customHeight="1"/>
    <row r="1685" ht="15.75" customHeight="1"/>
    <row r="1686" ht="15.75" customHeight="1"/>
    <row r="1687" ht="15.75" customHeight="1"/>
    <row r="1688" ht="15.75" customHeight="1"/>
    <row r="1689" ht="15.75" customHeight="1"/>
    <row r="1690" ht="15.75" customHeight="1"/>
    <row r="1691" ht="15.75" customHeight="1"/>
    <row r="1692" ht="15.75" customHeight="1"/>
    <row r="1693" ht="15.75" customHeight="1"/>
    <row r="1694" ht="15.75" customHeight="1"/>
    <row r="1695" ht="15.75" customHeight="1"/>
    <row r="1696" ht="15.75" customHeight="1"/>
    <row r="1697" ht="15.75" customHeight="1"/>
    <row r="1698" ht="15.75" customHeight="1"/>
    <row r="1699" ht="15.75" customHeight="1"/>
    <row r="1700" ht="15.75" customHeight="1"/>
    <row r="1701" ht="15.75" customHeight="1"/>
    <row r="1702" ht="15.75" customHeight="1"/>
    <row r="1703" ht="15.75" customHeight="1"/>
    <row r="1704" ht="15.75" customHeight="1"/>
    <row r="1705" ht="15.75" customHeight="1"/>
    <row r="1706" ht="15.75" customHeight="1"/>
    <row r="1707" ht="15.75" customHeight="1"/>
    <row r="1708" ht="15.75" customHeight="1"/>
    <row r="1709" ht="15.75" customHeight="1"/>
    <row r="1710" ht="15.75" customHeight="1"/>
    <row r="1711" ht="15.75" customHeight="1"/>
    <row r="1712" ht="15.75" customHeight="1"/>
    <row r="1713" ht="15.75" customHeight="1"/>
    <row r="1714" ht="15.75" customHeight="1"/>
    <row r="1715" ht="15.75" customHeight="1"/>
    <row r="1716" ht="15.75" customHeight="1"/>
    <row r="1717" ht="15.75" customHeight="1"/>
    <row r="1718" ht="15.75" customHeight="1"/>
    <row r="1719" ht="15.75" customHeight="1"/>
    <row r="1720" ht="15.75" customHeight="1"/>
    <row r="1721" ht="15.75" customHeight="1"/>
    <row r="1722" ht="15.75" customHeight="1"/>
    <row r="1723" ht="15.75" customHeight="1"/>
    <row r="1724" ht="15.75" customHeight="1"/>
    <row r="1725" ht="15.75" customHeight="1"/>
    <row r="1726" ht="15.75" customHeight="1"/>
    <row r="1727" ht="15.75" customHeight="1"/>
    <row r="1728" ht="15.75" customHeight="1"/>
    <row r="1729" ht="15.75" customHeight="1"/>
    <row r="1730" ht="15.75" customHeight="1"/>
    <row r="1731" ht="15.75" customHeight="1"/>
    <row r="1732" ht="15.75" customHeight="1"/>
    <row r="1733" ht="15.75" customHeight="1"/>
    <row r="1734" ht="15.75" customHeight="1"/>
    <row r="1735" ht="15.75" customHeight="1"/>
    <row r="1736" ht="15.75" customHeight="1"/>
    <row r="1737" ht="15.75" customHeight="1"/>
    <row r="1738" ht="15.75" customHeight="1"/>
    <row r="1739" ht="15.75" customHeight="1"/>
    <row r="1740" ht="15.75" customHeight="1"/>
    <row r="1741" ht="15.75" customHeight="1"/>
    <row r="1742" ht="15.75" customHeight="1"/>
    <row r="1743" ht="15.75" customHeight="1"/>
    <row r="1744" ht="15.75" customHeight="1"/>
    <row r="1745" ht="15.75" customHeight="1"/>
    <row r="1746" ht="15.75" customHeight="1"/>
    <row r="1747" ht="15.75" customHeight="1"/>
    <row r="1748" ht="15.75" customHeight="1"/>
    <row r="1749" ht="15.75" customHeight="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2.part2A">
                <anchor moveWithCells="1">
                  <from>
                    <xdr:col>3</xdr:col>
                    <xdr:colOff>38100</xdr:colOff>
                    <xdr:row>6</xdr:row>
                    <xdr:rowOff>38100</xdr:rowOff>
                  </from>
                  <to>
                    <xdr:col>5</xdr:col>
                    <xdr:colOff>0</xdr:colOff>
                    <xdr:row>8</xdr:row>
                    <xdr:rowOff>0</xdr:rowOff>
                  </to>
                </anchor>
              </controlPr>
            </control>
          </mc:Choice>
        </mc:AlternateContent>
        <mc:AlternateContent xmlns:mc="http://schemas.openxmlformats.org/markup-compatibility/2006">
          <mc:Choice Requires="x14">
            <control shapeId="4098" r:id="rId5" name="Button 2">
              <controlPr defaultSize="0" print="0" autoFill="0" autoPict="0" macro="[0]!Sheet2.part2B">
                <anchor moveWithCells="1">
                  <from>
                    <xdr:col>3</xdr:col>
                    <xdr:colOff>19050</xdr:colOff>
                    <xdr:row>8</xdr:row>
                    <xdr:rowOff>161925</xdr:rowOff>
                  </from>
                  <to>
                    <xdr:col>4</xdr:col>
                    <xdr:colOff>809625</xdr:colOff>
                    <xdr:row>11</xdr:row>
                    <xdr:rowOff>95250</xdr:rowOff>
                  </to>
                </anchor>
              </controlPr>
            </control>
          </mc:Choice>
        </mc:AlternateContent>
        <mc:AlternateContent xmlns:mc="http://schemas.openxmlformats.org/markup-compatibility/2006">
          <mc:Choice Requires="x14">
            <control shapeId="4099" r:id="rId6" name="Button 3">
              <controlPr defaultSize="0" print="0" autoFill="0" autoPict="0" macro="[0]!Sheet3.Reset">
                <anchor moveWithCells="1" sizeWithCells="1">
                  <from>
                    <xdr:col>3</xdr:col>
                    <xdr:colOff>47625</xdr:colOff>
                    <xdr:row>13</xdr:row>
                    <xdr:rowOff>85725</xdr:rowOff>
                  </from>
                  <to>
                    <xdr:col>4</xdr:col>
                    <xdr:colOff>514350</xdr:colOff>
                    <xdr:row>16</xdr:row>
                    <xdr:rowOff>0</xdr:rowOff>
                  </to>
                </anchor>
              </controlPr>
            </control>
          </mc:Choice>
        </mc:AlternateContent>
        <mc:AlternateContent xmlns:mc="http://schemas.openxmlformats.org/markup-compatibility/2006">
          <mc:Choice Requires="x14">
            <control shapeId="4100" r:id="rId7" name="Button 4">
              <controlPr defaultSize="0" print="0" autoFill="0" autoPict="0" macro="[0]!Sheet3.part2A">
                <anchor moveWithCells="1">
                  <from>
                    <xdr:col>3</xdr:col>
                    <xdr:colOff>38100</xdr:colOff>
                    <xdr:row>6</xdr:row>
                    <xdr:rowOff>38100</xdr:rowOff>
                  </from>
                  <to>
                    <xdr:col>5</xdr:col>
                    <xdr:colOff>0</xdr:colOff>
                    <xdr:row>8</xdr:row>
                    <xdr:rowOff>0</xdr:rowOff>
                  </to>
                </anchor>
              </controlPr>
            </control>
          </mc:Choice>
        </mc:AlternateContent>
        <mc:AlternateContent xmlns:mc="http://schemas.openxmlformats.org/markup-compatibility/2006">
          <mc:Choice Requires="x14">
            <control shapeId="4101" r:id="rId8" name="Button 5">
              <controlPr defaultSize="0" print="0" autoFill="0" autoPict="0" macro="[0]!Sheet3.part2B">
                <anchor moveWithCells="1">
                  <from>
                    <xdr:col>3</xdr:col>
                    <xdr:colOff>19050</xdr:colOff>
                    <xdr:row>8</xdr:row>
                    <xdr:rowOff>161925</xdr:rowOff>
                  </from>
                  <to>
                    <xdr:col>4</xdr:col>
                    <xdr:colOff>809625</xdr:colOff>
                    <xdr:row>11</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DB91B-87BD-D745-A28C-5CFCDAD326CD}">
  <sheetPr codeName="Sheet4"/>
  <dimension ref="A1:BA63"/>
  <sheetViews>
    <sheetView zoomScale="116" workbookViewId="0">
      <selection activeCell="G19" sqref="G19"/>
    </sheetView>
  </sheetViews>
  <sheetFormatPr defaultColWidth="11" defaultRowHeight="15.75"/>
  <cols>
    <col min="1" max="1" width="5.25" style="31" bestFit="1" customWidth="1"/>
    <col min="2" max="2" width="17" style="31" bestFit="1" customWidth="1"/>
    <col min="3" max="3" width="16.75" style="29" bestFit="1" customWidth="1"/>
    <col min="4" max="4" width="12" style="28" bestFit="1" customWidth="1"/>
    <col min="9" max="9" width="18.375" customWidth="1"/>
    <col min="27" max="27" width="11.625" bestFit="1" customWidth="1"/>
    <col min="29" max="29" width="14.125" customWidth="1"/>
    <col min="30" max="30" width="14.625" customWidth="1"/>
    <col min="35" max="35" width="18.375" customWidth="1"/>
  </cols>
  <sheetData>
    <row r="1" spans="1:53" ht="15.75" customHeight="1">
      <c r="A1" t="s">
        <v>464</v>
      </c>
      <c r="B1"/>
      <c r="C1" s="54"/>
      <c r="D1" s="55"/>
      <c r="AA1" t="s">
        <v>464</v>
      </c>
      <c r="AE1" t="b">
        <v>1</v>
      </c>
      <c r="BA1" t="b">
        <v>1</v>
      </c>
    </row>
    <row r="2" spans="1:53" ht="15.75" customHeight="1">
      <c r="A2"/>
      <c r="B2"/>
      <c r="C2" s="54"/>
      <c r="D2" s="55"/>
    </row>
    <row r="3" spans="1:53" ht="15.75" customHeight="1">
      <c r="A3" s="31" t="s">
        <v>1</v>
      </c>
      <c r="B3" s="31" t="s">
        <v>469</v>
      </c>
      <c r="C3" s="29" t="s">
        <v>470</v>
      </c>
      <c r="D3" s="28" t="s">
        <v>471</v>
      </c>
      <c r="AA3" t="s">
        <v>1</v>
      </c>
      <c r="AB3" t="s">
        <v>469</v>
      </c>
      <c r="AC3" t="s">
        <v>470</v>
      </c>
      <c r="AD3" t="s">
        <v>471</v>
      </c>
    </row>
    <row r="4" spans="1:53" ht="15.75" customHeight="1">
      <c r="A4" s="31">
        <v>2002</v>
      </c>
      <c r="B4" s="31" t="s">
        <v>466</v>
      </c>
      <c r="C4" s="29">
        <v>13148</v>
      </c>
      <c r="D4" s="28">
        <v>264325.38</v>
      </c>
      <c r="F4" s="33"/>
      <c r="AA4" s="33">
        <v>2002</v>
      </c>
      <c r="AB4" t="s">
        <v>466</v>
      </c>
      <c r="AC4">
        <v>13148</v>
      </c>
      <c r="AD4">
        <v>264325.38</v>
      </c>
      <c r="AF4" s="33"/>
    </row>
    <row r="5" spans="1:53" ht="15.75" customHeight="1">
      <c r="A5" s="31">
        <v>2002</v>
      </c>
      <c r="B5" s="31" t="s">
        <v>467</v>
      </c>
      <c r="C5" s="29">
        <v>2328</v>
      </c>
      <c r="D5" s="28">
        <v>16328.93</v>
      </c>
      <c r="F5" s="33"/>
      <c r="AA5" s="33">
        <v>2002</v>
      </c>
      <c r="AB5" t="s">
        <v>467</v>
      </c>
      <c r="AC5">
        <v>2328</v>
      </c>
      <c r="AD5">
        <v>16328.93</v>
      </c>
      <c r="AF5" s="33"/>
    </row>
    <row r="6" spans="1:53" ht="15.75" customHeight="1">
      <c r="A6" s="31">
        <v>2002</v>
      </c>
      <c r="B6" s="31" t="s">
        <v>468</v>
      </c>
      <c r="C6" s="29">
        <v>1443</v>
      </c>
      <c r="D6" s="28">
        <v>32616.73</v>
      </c>
      <c r="F6" s="2"/>
      <c r="AA6" s="2">
        <v>2002</v>
      </c>
      <c r="AB6" t="s">
        <v>468</v>
      </c>
      <c r="AC6">
        <v>1443</v>
      </c>
      <c r="AD6">
        <v>32616.73</v>
      </c>
      <c r="AF6" s="2"/>
    </row>
    <row r="7" spans="1:53" ht="15.75" customHeight="1">
      <c r="A7" s="31">
        <v>2003</v>
      </c>
      <c r="B7" s="31" t="s">
        <v>466</v>
      </c>
      <c r="C7" s="29">
        <v>12943</v>
      </c>
      <c r="D7" s="28">
        <v>259533.03</v>
      </c>
      <c r="F7" s="33"/>
      <c r="I7" s="7"/>
      <c r="AA7" s="33">
        <v>2003</v>
      </c>
      <c r="AB7" t="s">
        <v>466</v>
      </c>
      <c r="AC7">
        <v>12943</v>
      </c>
      <c r="AD7" s="7">
        <v>259533.03</v>
      </c>
      <c r="AF7" s="33"/>
      <c r="AI7" s="7"/>
    </row>
    <row r="8" spans="1:53" ht="15.75" customHeight="1">
      <c r="A8" s="31">
        <v>2003</v>
      </c>
      <c r="B8" s="31" t="s">
        <v>467</v>
      </c>
      <c r="C8" s="29">
        <v>2777</v>
      </c>
      <c r="D8" s="28">
        <v>19734.11</v>
      </c>
      <c r="F8" s="33"/>
      <c r="I8" s="7"/>
      <c r="AA8" s="33">
        <v>2003</v>
      </c>
      <c r="AB8" t="s">
        <v>467</v>
      </c>
      <c r="AC8">
        <v>2777</v>
      </c>
      <c r="AD8" s="7">
        <v>19734.11</v>
      </c>
      <c r="AF8" s="33"/>
      <c r="AI8" s="7"/>
    </row>
    <row r="9" spans="1:53" ht="15.75" customHeight="1">
      <c r="A9" s="31">
        <v>2003</v>
      </c>
      <c r="B9" s="31" t="s">
        <v>468</v>
      </c>
      <c r="C9" s="29">
        <v>1364</v>
      </c>
      <c r="D9" s="28">
        <v>32502.93</v>
      </c>
      <c r="F9" s="33"/>
      <c r="I9" s="7"/>
      <c r="AA9" s="33">
        <v>2003</v>
      </c>
      <c r="AB9" t="s">
        <v>468</v>
      </c>
      <c r="AC9">
        <v>1364</v>
      </c>
      <c r="AD9" s="7">
        <v>32502.93</v>
      </c>
      <c r="AF9" s="33"/>
      <c r="AI9" s="7"/>
    </row>
    <row r="10" spans="1:53" ht="15.75" customHeight="1">
      <c r="A10" s="31">
        <v>2004</v>
      </c>
      <c r="B10" s="31" t="s">
        <v>466</v>
      </c>
      <c r="C10" s="29">
        <v>12930</v>
      </c>
      <c r="D10" s="28">
        <v>276537.09000000003</v>
      </c>
      <c r="F10" s="32"/>
      <c r="I10" s="7"/>
      <c r="AA10" s="32">
        <v>2004</v>
      </c>
      <c r="AB10" t="s">
        <v>466</v>
      </c>
      <c r="AC10">
        <v>12930</v>
      </c>
      <c r="AD10" s="7">
        <v>276537.09000000003</v>
      </c>
      <c r="AF10" s="32"/>
      <c r="AI10" s="7"/>
    </row>
    <row r="11" spans="1:53" ht="15.75" customHeight="1">
      <c r="A11" s="31">
        <v>2004</v>
      </c>
      <c r="B11" s="31" t="s">
        <v>467</v>
      </c>
      <c r="C11" s="29">
        <v>3241</v>
      </c>
      <c r="D11" s="28">
        <v>24519.58</v>
      </c>
      <c r="AA11">
        <v>2004</v>
      </c>
      <c r="AB11" t="s">
        <v>467</v>
      </c>
      <c r="AC11">
        <v>3241</v>
      </c>
      <c r="AD11">
        <v>24519.58</v>
      </c>
    </row>
    <row r="12" spans="1:53" ht="15.75" customHeight="1">
      <c r="A12" s="31">
        <v>2004</v>
      </c>
      <c r="B12" s="31" t="s">
        <v>468</v>
      </c>
      <c r="C12" s="29">
        <v>1405</v>
      </c>
      <c r="D12" s="28">
        <v>30663.8</v>
      </c>
      <c r="AA12">
        <v>2004</v>
      </c>
      <c r="AB12" t="s">
        <v>468</v>
      </c>
      <c r="AC12">
        <v>1405</v>
      </c>
      <c r="AD12">
        <v>30663.8</v>
      </c>
    </row>
    <row r="13" spans="1:53" ht="15.75" customHeight="1">
      <c r="A13" s="31">
        <v>2005</v>
      </c>
      <c r="B13" s="31" t="s">
        <v>466</v>
      </c>
      <c r="C13" s="29">
        <v>12748</v>
      </c>
      <c r="D13" s="28">
        <v>294343.24</v>
      </c>
      <c r="F13" s="34"/>
      <c r="H13" s="36"/>
      <c r="AA13" s="34">
        <v>2005</v>
      </c>
      <c r="AB13" t="s">
        <v>466</v>
      </c>
      <c r="AC13" s="36">
        <v>12748</v>
      </c>
      <c r="AD13">
        <v>294343.24</v>
      </c>
      <c r="AF13" s="34"/>
      <c r="AH13" s="36"/>
    </row>
    <row r="14" spans="1:53" ht="15.75" customHeight="1">
      <c r="A14" s="31">
        <v>2005</v>
      </c>
      <c r="B14" s="31" t="s">
        <v>467</v>
      </c>
      <c r="C14" s="29">
        <v>3278</v>
      </c>
      <c r="D14" s="28">
        <v>27254.18</v>
      </c>
      <c r="H14" s="36"/>
      <c r="AA14">
        <v>2005</v>
      </c>
      <c r="AB14" t="s">
        <v>467</v>
      </c>
      <c r="AC14" s="36">
        <v>3278</v>
      </c>
      <c r="AD14">
        <v>27254.18</v>
      </c>
      <c r="AH14" s="36"/>
    </row>
    <row r="15" spans="1:53" ht="15.75" customHeight="1">
      <c r="A15" s="31">
        <v>2005</v>
      </c>
      <c r="B15" s="31" t="s">
        <v>468</v>
      </c>
      <c r="C15" s="29">
        <v>1289</v>
      </c>
      <c r="D15" s="28">
        <v>28032.18</v>
      </c>
      <c r="F15" s="33"/>
      <c r="H15" s="36"/>
      <c r="AA15" s="33">
        <v>2005</v>
      </c>
      <c r="AB15" t="s">
        <v>468</v>
      </c>
      <c r="AC15" s="36">
        <v>1289</v>
      </c>
      <c r="AD15">
        <v>28032.18</v>
      </c>
      <c r="AF15" s="33"/>
      <c r="AH15" s="36"/>
    </row>
    <row r="16" spans="1:53" ht="15.75" customHeight="1">
      <c r="A16" s="31">
        <v>2006</v>
      </c>
      <c r="B16" s="31" t="s">
        <v>466</v>
      </c>
      <c r="C16" s="29">
        <v>13342</v>
      </c>
      <c r="D16" s="28">
        <v>335677.05</v>
      </c>
      <c r="H16" s="36"/>
      <c r="AA16">
        <v>2006</v>
      </c>
      <c r="AB16" t="s">
        <v>466</v>
      </c>
      <c r="AC16" s="36">
        <v>13342</v>
      </c>
      <c r="AD16">
        <v>335677.05</v>
      </c>
      <c r="AH16" s="36"/>
    </row>
    <row r="17" spans="1:35" ht="15.75" customHeight="1">
      <c r="A17" s="31">
        <v>2006</v>
      </c>
      <c r="B17" s="31" t="s">
        <v>467</v>
      </c>
      <c r="C17" s="29">
        <v>3366</v>
      </c>
      <c r="D17" s="28">
        <v>28385.69</v>
      </c>
      <c r="H17" s="36"/>
      <c r="AA17">
        <v>2006</v>
      </c>
      <c r="AB17" t="s">
        <v>467</v>
      </c>
      <c r="AC17" s="36">
        <v>3366</v>
      </c>
      <c r="AD17">
        <v>28385.69</v>
      </c>
      <c r="AH17" s="36"/>
    </row>
    <row r="18" spans="1:35" ht="15.75" customHeight="1">
      <c r="A18" s="31">
        <v>2006</v>
      </c>
      <c r="B18" s="31" t="s">
        <v>468</v>
      </c>
      <c r="C18" s="29">
        <v>1487</v>
      </c>
      <c r="D18" s="28">
        <v>41509.980000000003</v>
      </c>
      <c r="H18" s="36"/>
      <c r="AA18">
        <v>2006</v>
      </c>
      <c r="AB18" t="s">
        <v>468</v>
      </c>
      <c r="AC18" s="36">
        <v>1487</v>
      </c>
      <c r="AD18">
        <v>41509.980000000003</v>
      </c>
      <c r="AH18" s="36"/>
    </row>
    <row r="19" spans="1:35" ht="15.75" customHeight="1">
      <c r="A19" s="31">
        <v>2007</v>
      </c>
      <c r="B19" s="31" t="s">
        <v>466</v>
      </c>
      <c r="C19" s="29">
        <v>14343</v>
      </c>
      <c r="D19" s="28">
        <v>367248.64000000001</v>
      </c>
      <c r="F19" s="35"/>
      <c r="H19" s="36"/>
      <c r="I19" s="36"/>
      <c r="AA19" s="35">
        <v>2007</v>
      </c>
      <c r="AB19" t="s">
        <v>466</v>
      </c>
      <c r="AC19" s="36">
        <v>14343</v>
      </c>
      <c r="AD19" s="36">
        <v>367248.64000000001</v>
      </c>
      <c r="AF19" s="35"/>
      <c r="AH19" s="36"/>
      <c r="AI19" s="36"/>
    </row>
    <row r="20" spans="1:35" ht="15.75" customHeight="1">
      <c r="A20" s="31">
        <v>2007</v>
      </c>
      <c r="B20" s="31" t="s">
        <v>467</v>
      </c>
      <c r="C20" s="29">
        <v>3511</v>
      </c>
      <c r="D20" s="28">
        <v>29635.38</v>
      </c>
      <c r="F20" s="35"/>
      <c r="H20" s="36"/>
      <c r="I20" s="36"/>
      <c r="AA20" s="35">
        <v>2007</v>
      </c>
      <c r="AB20" t="s">
        <v>467</v>
      </c>
      <c r="AC20" s="36">
        <v>3511</v>
      </c>
      <c r="AD20" s="36">
        <v>29635.38</v>
      </c>
      <c r="AF20" s="35"/>
      <c r="AH20" s="36"/>
      <c r="AI20" s="36"/>
    </row>
    <row r="21" spans="1:35" ht="15.75" customHeight="1">
      <c r="A21" s="31">
        <v>2007</v>
      </c>
      <c r="B21" s="31" t="s">
        <v>468</v>
      </c>
      <c r="C21" s="29">
        <v>1458</v>
      </c>
      <c r="D21" s="28">
        <v>48563.81</v>
      </c>
      <c r="F21" s="35"/>
      <c r="I21" s="36"/>
      <c r="AA21" s="35">
        <v>2007</v>
      </c>
      <c r="AB21" t="s">
        <v>468</v>
      </c>
      <c r="AC21">
        <v>1458</v>
      </c>
      <c r="AD21" s="36">
        <v>48563.81</v>
      </c>
      <c r="AF21" s="35"/>
      <c r="AI21" s="36"/>
    </row>
    <row r="22" spans="1:35" ht="15.75" customHeight="1">
      <c r="A22" s="31">
        <v>2008</v>
      </c>
      <c r="B22" s="31" t="s">
        <v>466</v>
      </c>
      <c r="C22" s="29">
        <v>13756</v>
      </c>
      <c r="D22" s="28">
        <v>378628.69</v>
      </c>
      <c r="F22" s="35"/>
      <c r="I22" s="36"/>
      <c r="AA22" s="35">
        <v>2008</v>
      </c>
      <c r="AB22" t="s">
        <v>466</v>
      </c>
      <c r="AC22">
        <v>13756</v>
      </c>
      <c r="AD22" s="36">
        <v>378628.69</v>
      </c>
      <c r="AF22" s="35"/>
      <c r="AI22" s="36"/>
    </row>
    <row r="23" spans="1:35" ht="15.75" customHeight="1">
      <c r="A23" s="31">
        <v>2008</v>
      </c>
      <c r="B23" s="31" t="s">
        <v>467</v>
      </c>
      <c r="C23" s="29">
        <v>3843</v>
      </c>
      <c r="D23" s="28">
        <v>34225.910000000003</v>
      </c>
      <c r="F23" s="35"/>
      <c r="I23" s="36"/>
      <c r="AA23" s="35">
        <v>2008</v>
      </c>
      <c r="AB23" t="s">
        <v>467</v>
      </c>
      <c r="AC23">
        <v>3843</v>
      </c>
      <c r="AD23" s="36">
        <v>34225.910000000003</v>
      </c>
      <c r="AF23" s="35"/>
      <c r="AI23" s="36"/>
    </row>
    <row r="24" spans="1:35" ht="15.75" customHeight="1">
      <c r="A24" s="31">
        <v>2008</v>
      </c>
      <c r="B24" s="31" t="s">
        <v>468</v>
      </c>
      <c r="C24" s="29">
        <v>1861</v>
      </c>
      <c r="D24" s="28">
        <v>71560.67</v>
      </c>
      <c r="F24" s="35"/>
      <c r="I24" s="36"/>
      <c r="AA24" s="35">
        <v>2008</v>
      </c>
      <c r="AB24" t="s">
        <v>468</v>
      </c>
      <c r="AC24">
        <v>1861</v>
      </c>
      <c r="AD24" s="36">
        <v>71560.67</v>
      </c>
      <c r="AF24" s="35"/>
      <c r="AI24" s="36"/>
    </row>
    <row r="25" spans="1:35" ht="15.75" customHeight="1">
      <c r="A25" s="31">
        <v>2009</v>
      </c>
      <c r="B25" s="31" t="s">
        <v>466</v>
      </c>
      <c r="C25" s="29">
        <v>14059</v>
      </c>
      <c r="D25" s="28">
        <v>424172.25</v>
      </c>
      <c r="F25" s="35"/>
      <c r="I25" s="36"/>
      <c r="AA25" s="35">
        <v>2009</v>
      </c>
      <c r="AB25" t="s">
        <v>466</v>
      </c>
      <c r="AC25">
        <v>14059</v>
      </c>
      <c r="AD25" s="36">
        <v>424172.25</v>
      </c>
      <c r="AF25" s="35"/>
      <c r="AI25" s="36"/>
    </row>
    <row r="26" spans="1:35" ht="15.75" customHeight="1">
      <c r="A26" s="31">
        <v>2009</v>
      </c>
      <c r="B26" s="31" t="s">
        <v>467</v>
      </c>
      <c r="C26" s="29">
        <v>4337</v>
      </c>
      <c r="D26" s="28">
        <v>43854.47</v>
      </c>
      <c r="F26" s="35"/>
      <c r="I26" s="36"/>
      <c r="AA26" s="35">
        <v>2009</v>
      </c>
      <c r="AB26" t="s">
        <v>467</v>
      </c>
      <c r="AC26">
        <v>4337</v>
      </c>
      <c r="AD26" s="36">
        <v>43854.47</v>
      </c>
      <c r="AF26" s="35"/>
      <c r="AI26" s="36"/>
    </row>
    <row r="27" spans="1:35" ht="15.75" customHeight="1">
      <c r="A27" s="31">
        <v>2009</v>
      </c>
      <c r="B27" s="31" t="s">
        <v>468</v>
      </c>
      <c r="C27" s="29">
        <v>1684</v>
      </c>
      <c r="D27" s="28">
        <v>59590.82</v>
      </c>
      <c r="F27" s="35"/>
      <c r="I27" s="36"/>
      <c r="AA27" s="35">
        <v>2009</v>
      </c>
      <c r="AB27" t="s">
        <v>468</v>
      </c>
      <c r="AC27">
        <v>1684</v>
      </c>
      <c r="AD27" s="36">
        <v>59590.82</v>
      </c>
      <c r="AF27" s="35"/>
      <c r="AI27" s="36"/>
    </row>
    <row r="28" spans="1:35" ht="15.75" customHeight="1">
      <c r="A28" s="31">
        <v>2010</v>
      </c>
      <c r="B28" s="31" t="s">
        <v>466</v>
      </c>
      <c r="C28" s="29">
        <v>15093</v>
      </c>
      <c r="D28" s="28">
        <v>467715.14</v>
      </c>
      <c r="F28" s="35"/>
      <c r="I28" s="36"/>
      <c r="AA28" s="35">
        <v>2010</v>
      </c>
      <c r="AB28" t="s">
        <v>466</v>
      </c>
      <c r="AC28">
        <v>15093</v>
      </c>
      <c r="AD28" s="36">
        <v>467715.14</v>
      </c>
      <c r="AF28" s="35"/>
      <c r="AI28" s="36"/>
    </row>
    <row r="29" spans="1:35" ht="15.75" customHeight="1">
      <c r="A29" s="31">
        <v>2010</v>
      </c>
      <c r="B29" s="31" t="s">
        <v>467</v>
      </c>
      <c r="C29" s="29">
        <v>4607</v>
      </c>
      <c r="D29" s="28">
        <v>48392.6</v>
      </c>
      <c r="I29" s="36"/>
      <c r="AA29">
        <v>2010</v>
      </c>
      <c r="AB29" t="s">
        <v>467</v>
      </c>
      <c r="AC29">
        <v>4607</v>
      </c>
      <c r="AD29" s="36">
        <v>48392.6</v>
      </c>
      <c r="AI29" s="36"/>
    </row>
    <row r="30" spans="1:35" ht="15.75" customHeight="1">
      <c r="A30" s="31">
        <v>2010</v>
      </c>
      <c r="B30" s="31" t="s">
        <v>468</v>
      </c>
      <c r="C30" s="29">
        <v>1655</v>
      </c>
      <c r="D30" s="28">
        <v>53286.17</v>
      </c>
      <c r="I30" s="36"/>
      <c r="AA30">
        <v>2010</v>
      </c>
      <c r="AB30" t="s">
        <v>468</v>
      </c>
      <c r="AC30">
        <v>1655</v>
      </c>
      <c r="AD30" s="36">
        <v>53286.17</v>
      </c>
      <c r="AI30" s="36"/>
    </row>
    <row r="31" spans="1:35" ht="15.75" customHeight="1">
      <c r="A31" s="31">
        <v>2011</v>
      </c>
      <c r="B31" s="31" t="s">
        <v>466</v>
      </c>
      <c r="C31" s="29">
        <v>15861</v>
      </c>
      <c r="D31" s="28">
        <v>536894.59</v>
      </c>
      <c r="F31" s="2"/>
      <c r="I31" s="36"/>
      <c r="AA31" s="2">
        <v>2011</v>
      </c>
      <c r="AB31" t="s">
        <v>466</v>
      </c>
      <c r="AC31">
        <v>15861</v>
      </c>
      <c r="AD31" s="36">
        <v>536894.59</v>
      </c>
      <c r="AF31" s="2"/>
      <c r="AI31" s="36"/>
    </row>
    <row r="32" spans="1:35" ht="15.75" customHeight="1">
      <c r="A32" s="31">
        <v>2011</v>
      </c>
      <c r="B32" s="31" t="s">
        <v>467</v>
      </c>
      <c r="C32" s="29">
        <v>4588</v>
      </c>
      <c r="D32" s="28">
        <v>49011.5</v>
      </c>
      <c r="I32" s="36"/>
      <c r="AA32">
        <v>2011</v>
      </c>
      <c r="AB32" t="s">
        <v>467</v>
      </c>
      <c r="AC32">
        <v>4588</v>
      </c>
      <c r="AD32" s="36">
        <v>49011.5</v>
      </c>
      <c r="AI32" s="36"/>
    </row>
    <row r="33" spans="1:35" ht="15.75" customHeight="1">
      <c r="A33" s="31">
        <v>2011</v>
      </c>
      <c r="B33" s="31" t="s">
        <v>468</v>
      </c>
      <c r="C33" s="29">
        <v>1831</v>
      </c>
      <c r="D33" s="28">
        <v>66775.62</v>
      </c>
      <c r="H33" s="37"/>
      <c r="I33" s="36"/>
      <c r="AA33">
        <v>2011</v>
      </c>
      <c r="AB33" t="s">
        <v>468</v>
      </c>
      <c r="AC33" s="37">
        <v>1831</v>
      </c>
      <c r="AD33" s="36">
        <v>66775.62</v>
      </c>
      <c r="AH33" s="37"/>
      <c r="AI33" s="36"/>
    </row>
    <row r="34" spans="1:35" ht="15.75" customHeight="1">
      <c r="A34" s="31">
        <v>2012</v>
      </c>
      <c r="B34" s="31" t="s">
        <v>466</v>
      </c>
      <c r="C34" s="29">
        <v>15702</v>
      </c>
      <c r="D34" s="28">
        <v>561785.37</v>
      </c>
      <c r="H34" s="37"/>
      <c r="I34" s="36"/>
      <c r="AA34">
        <v>2012</v>
      </c>
      <c r="AB34" t="s">
        <v>466</v>
      </c>
      <c r="AC34" s="37">
        <v>15702</v>
      </c>
      <c r="AD34" s="36">
        <v>561785.37</v>
      </c>
      <c r="AH34" s="37"/>
      <c r="AI34" s="36"/>
    </row>
    <row r="35" spans="1:35" ht="15.75" customHeight="1">
      <c r="A35" s="31">
        <v>2012</v>
      </c>
      <c r="B35" s="31" t="s">
        <v>467</v>
      </c>
      <c r="C35" s="29">
        <v>4534</v>
      </c>
      <c r="D35" s="28">
        <v>49854</v>
      </c>
      <c r="F35" s="32"/>
      <c r="H35" s="37"/>
      <c r="I35" s="36"/>
      <c r="AA35" s="32">
        <v>2012</v>
      </c>
      <c r="AB35" t="s">
        <v>467</v>
      </c>
      <c r="AC35" s="37">
        <v>4534</v>
      </c>
      <c r="AD35" s="36">
        <v>49854</v>
      </c>
      <c r="AF35" s="32"/>
      <c r="AH35" s="37"/>
      <c r="AI35" s="36"/>
    </row>
    <row r="36" spans="1:35" ht="15.75" customHeight="1">
      <c r="A36" s="31">
        <v>2012</v>
      </c>
      <c r="B36" s="31" t="s">
        <v>468</v>
      </c>
      <c r="C36" s="29">
        <v>1994</v>
      </c>
      <c r="D36" s="28">
        <v>82200.09</v>
      </c>
      <c r="H36" s="37"/>
      <c r="I36" s="36"/>
      <c r="AA36">
        <v>2012</v>
      </c>
      <c r="AB36" t="s">
        <v>468</v>
      </c>
      <c r="AC36" s="37">
        <v>1994</v>
      </c>
      <c r="AD36" s="36">
        <v>82200.09</v>
      </c>
      <c r="AH36" s="37"/>
      <c r="AI36" s="36"/>
    </row>
    <row r="37" spans="1:35" ht="15.75" customHeight="1">
      <c r="A37" s="31">
        <v>2013</v>
      </c>
      <c r="B37" s="31" t="s">
        <v>466</v>
      </c>
      <c r="C37" s="29">
        <v>16125</v>
      </c>
      <c r="D37" s="28">
        <v>567949.68000000005</v>
      </c>
      <c r="H37" s="37"/>
      <c r="I37" s="36"/>
      <c r="AA37">
        <v>2013</v>
      </c>
      <c r="AB37" t="s">
        <v>466</v>
      </c>
      <c r="AC37" s="37">
        <v>16125</v>
      </c>
      <c r="AD37" s="36">
        <v>567949.68000000005</v>
      </c>
      <c r="AH37" s="37"/>
      <c r="AI37" s="36"/>
    </row>
    <row r="38" spans="1:35" ht="15.75" customHeight="1">
      <c r="A38" s="31">
        <v>2013</v>
      </c>
      <c r="B38" s="31" t="s">
        <v>467</v>
      </c>
      <c r="C38" s="29">
        <v>4493</v>
      </c>
      <c r="D38" s="28">
        <v>49833.38</v>
      </c>
      <c r="F38" s="34"/>
      <c r="H38" s="37"/>
      <c r="I38" s="36"/>
      <c r="AA38" s="34">
        <v>2013</v>
      </c>
      <c r="AB38" t="s">
        <v>467</v>
      </c>
      <c r="AC38" s="37">
        <v>4493</v>
      </c>
      <c r="AD38" s="36">
        <v>49833.38</v>
      </c>
      <c r="AF38" s="34"/>
      <c r="AH38" s="37"/>
      <c r="AI38" s="36"/>
    </row>
    <row r="39" spans="1:35" ht="15.75" customHeight="1">
      <c r="A39" s="31">
        <v>2013</v>
      </c>
      <c r="B39" s="31" t="s">
        <v>468</v>
      </c>
      <c r="C39" s="29">
        <v>1999</v>
      </c>
      <c r="D39" s="28">
        <v>87060.49</v>
      </c>
      <c r="H39" s="37"/>
      <c r="I39" s="36"/>
      <c r="AA39">
        <v>2013</v>
      </c>
      <c r="AB39" t="s">
        <v>468</v>
      </c>
      <c r="AC39" s="37">
        <v>1999</v>
      </c>
      <c r="AD39" s="36">
        <v>87060.49</v>
      </c>
      <c r="AH39" s="37"/>
      <c r="AI39" s="36"/>
    </row>
    <row r="40" spans="1:35" ht="15.75" customHeight="1">
      <c r="A40" s="31">
        <v>2014</v>
      </c>
      <c r="B40" s="31" t="s">
        <v>466</v>
      </c>
      <c r="C40" s="29">
        <v>15349</v>
      </c>
      <c r="D40" s="28">
        <v>555127.15</v>
      </c>
      <c r="F40" s="33"/>
      <c r="H40" s="37"/>
      <c r="AA40" s="33">
        <v>2014</v>
      </c>
      <c r="AB40" t="s">
        <v>466</v>
      </c>
      <c r="AC40" s="37">
        <v>15349</v>
      </c>
      <c r="AD40">
        <v>555127.15</v>
      </c>
      <c r="AF40" s="33"/>
      <c r="AH40" s="37"/>
    </row>
    <row r="41" spans="1:35" ht="15.75" customHeight="1">
      <c r="A41" s="31">
        <v>2014</v>
      </c>
      <c r="B41" s="31" t="s">
        <v>467</v>
      </c>
      <c r="C41" s="29">
        <v>4629</v>
      </c>
      <c r="D41" s="28">
        <v>51923.64</v>
      </c>
      <c r="AA41">
        <v>2014</v>
      </c>
      <c r="AB41" t="s">
        <v>467</v>
      </c>
      <c r="AC41">
        <v>4629</v>
      </c>
      <c r="AD41">
        <v>51923.64</v>
      </c>
    </row>
    <row r="42" spans="1:35" ht="15.75" customHeight="1">
      <c r="A42" s="31">
        <v>2014</v>
      </c>
      <c r="B42" s="31" t="s">
        <v>468</v>
      </c>
      <c r="C42" s="29">
        <v>2240</v>
      </c>
      <c r="D42" s="28">
        <v>100413.19</v>
      </c>
      <c r="AA42">
        <v>2014</v>
      </c>
      <c r="AB42" t="s">
        <v>468</v>
      </c>
      <c r="AC42">
        <v>2240</v>
      </c>
      <c r="AD42">
        <v>100413.19</v>
      </c>
    </row>
    <row r="43" spans="1:35" ht="15.75" customHeight="1">
      <c r="A43" s="31">
        <v>2015</v>
      </c>
      <c r="B43" s="31" t="s">
        <v>466</v>
      </c>
      <c r="C43" s="29">
        <v>14676</v>
      </c>
      <c r="D43" s="28">
        <v>567341.32999999996</v>
      </c>
      <c r="AA43">
        <v>2015</v>
      </c>
      <c r="AB43" t="s">
        <v>466</v>
      </c>
      <c r="AC43">
        <v>14676</v>
      </c>
      <c r="AD43">
        <v>567341.32999999996</v>
      </c>
    </row>
    <row r="44" spans="1:35" ht="15.75" customHeight="1">
      <c r="A44" s="31">
        <v>2015</v>
      </c>
      <c r="B44" s="31" t="s">
        <v>467</v>
      </c>
      <c r="C44" s="29">
        <v>5083</v>
      </c>
      <c r="D44" s="28">
        <v>58032.05</v>
      </c>
      <c r="F44" s="35"/>
      <c r="I44" s="8"/>
      <c r="AA44" s="35">
        <v>2015</v>
      </c>
      <c r="AB44" t="s">
        <v>467</v>
      </c>
      <c r="AC44">
        <v>5083</v>
      </c>
      <c r="AD44" s="8">
        <v>58032.05</v>
      </c>
      <c r="AF44" s="35"/>
      <c r="AI44" s="8"/>
    </row>
    <row r="45" spans="1:35" ht="15.75" customHeight="1">
      <c r="A45" s="31">
        <v>2015</v>
      </c>
      <c r="B45" s="31" t="s">
        <v>468</v>
      </c>
      <c r="C45" s="29">
        <v>2303</v>
      </c>
      <c r="D45" s="28">
        <v>94072.11</v>
      </c>
      <c r="F45" s="35"/>
      <c r="I45" s="8"/>
      <c r="AA45" s="35">
        <v>2015</v>
      </c>
      <c r="AB45" t="s">
        <v>468</v>
      </c>
      <c r="AC45">
        <v>2303</v>
      </c>
      <c r="AD45" s="8">
        <v>94072.11</v>
      </c>
      <c r="AF45" s="35"/>
      <c r="AI45" s="8"/>
    </row>
    <row r="46" spans="1:35" ht="15.75" customHeight="1">
      <c r="A46" s="31">
        <v>2016</v>
      </c>
      <c r="B46" s="31" t="s">
        <v>466</v>
      </c>
      <c r="C46" s="29">
        <v>15805</v>
      </c>
      <c r="D46" s="28">
        <v>620755.82999999996</v>
      </c>
      <c r="F46" s="35"/>
      <c r="I46" s="8"/>
      <c r="AA46" s="35">
        <v>2016</v>
      </c>
      <c r="AB46" t="s">
        <v>466</v>
      </c>
      <c r="AC46">
        <v>15805</v>
      </c>
      <c r="AD46" s="8">
        <v>620755.82999999996</v>
      </c>
      <c r="AF46" s="35"/>
      <c r="AI46" s="8"/>
    </row>
    <row r="47" spans="1:35" ht="15.75" customHeight="1">
      <c r="A47" s="31">
        <v>2016</v>
      </c>
      <c r="B47" s="31" t="s">
        <v>467</v>
      </c>
      <c r="C47" s="29">
        <v>5209</v>
      </c>
      <c r="D47" s="28">
        <v>60336.25</v>
      </c>
      <c r="F47" s="35"/>
      <c r="I47" s="8"/>
      <c r="AA47" s="35">
        <v>2016</v>
      </c>
      <c r="AB47" t="s">
        <v>467</v>
      </c>
      <c r="AC47">
        <v>5209</v>
      </c>
      <c r="AD47" s="8">
        <v>60336.25</v>
      </c>
      <c r="AF47" s="35"/>
      <c r="AI47" s="8"/>
    </row>
    <row r="48" spans="1:35" ht="15.75" customHeight="1">
      <c r="A48" s="31">
        <v>2016</v>
      </c>
      <c r="B48" s="31" t="s">
        <v>468</v>
      </c>
      <c r="C48" s="29">
        <v>2681</v>
      </c>
      <c r="D48" s="28">
        <v>99756.88</v>
      </c>
      <c r="F48" s="35"/>
      <c r="AA48" s="35">
        <v>2016</v>
      </c>
      <c r="AB48" t="s">
        <v>468</v>
      </c>
      <c r="AC48">
        <v>2681</v>
      </c>
      <c r="AD48">
        <v>99756.88</v>
      </c>
      <c r="AF48" s="35"/>
    </row>
    <row r="49" spans="1:35" ht="15.75" customHeight="1">
      <c r="A49" s="31">
        <v>2017</v>
      </c>
      <c r="B49" s="31" t="s">
        <v>466</v>
      </c>
      <c r="C49" s="29">
        <v>16894</v>
      </c>
      <c r="D49" s="28">
        <v>702924.61199999996</v>
      </c>
      <c r="F49" s="35"/>
      <c r="AA49" s="35">
        <v>2017</v>
      </c>
      <c r="AB49" t="s">
        <v>466</v>
      </c>
      <c r="AC49">
        <v>16894</v>
      </c>
      <c r="AD49">
        <v>702924.61199999996</v>
      </c>
      <c r="AF49" s="35"/>
    </row>
    <row r="50" spans="1:35" ht="15.75" customHeight="1">
      <c r="A50" s="31">
        <v>2017</v>
      </c>
      <c r="B50" s="31" t="s">
        <v>467</v>
      </c>
      <c r="C50" s="29">
        <v>4763</v>
      </c>
      <c r="D50" s="28">
        <v>56268.432000000001</v>
      </c>
      <c r="F50" s="35"/>
      <c r="AA50" s="35">
        <v>2017</v>
      </c>
      <c r="AB50" t="s">
        <v>467</v>
      </c>
      <c r="AC50">
        <v>4763</v>
      </c>
      <c r="AD50">
        <v>56268.432000000001</v>
      </c>
      <c r="AF50" s="35"/>
    </row>
    <row r="51" spans="1:35" ht="15.75" customHeight="1">
      <c r="A51" s="31">
        <v>2017</v>
      </c>
      <c r="B51" s="31" t="s">
        <v>468</v>
      </c>
      <c r="C51" s="29">
        <v>2754</v>
      </c>
      <c r="D51" s="28">
        <v>116647.86500000001</v>
      </c>
      <c r="F51" s="35"/>
      <c r="AA51" s="35">
        <v>2017</v>
      </c>
      <c r="AB51" t="s">
        <v>468</v>
      </c>
      <c r="AC51">
        <v>2754</v>
      </c>
      <c r="AD51">
        <v>116647.86500000001</v>
      </c>
      <c r="AF51" s="35"/>
    </row>
    <row r="52" spans="1:35" ht="15.75" customHeight="1">
      <c r="A52" s="31">
        <v>2018</v>
      </c>
      <c r="B52" s="31" t="s">
        <v>466</v>
      </c>
      <c r="C52" s="29">
        <v>16858</v>
      </c>
      <c r="D52" s="28">
        <v>684875.23400000005</v>
      </c>
      <c r="F52" s="35"/>
      <c r="AA52" s="35">
        <v>2018</v>
      </c>
      <c r="AB52" t="s">
        <v>466</v>
      </c>
      <c r="AC52">
        <v>16858</v>
      </c>
      <c r="AD52">
        <v>684875.23400000005</v>
      </c>
      <c r="AF52" s="35"/>
    </row>
    <row r="53" spans="1:35" ht="15.75" customHeight="1">
      <c r="A53" s="31">
        <v>2018</v>
      </c>
      <c r="B53" s="31" t="s">
        <v>467</v>
      </c>
      <c r="C53" s="29">
        <v>4366</v>
      </c>
      <c r="D53" s="28">
        <v>53805.728999999999</v>
      </c>
      <c r="F53" s="35"/>
      <c r="AA53" s="35">
        <v>2018</v>
      </c>
      <c r="AB53" t="s">
        <v>467</v>
      </c>
      <c r="AC53">
        <v>4366</v>
      </c>
      <c r="AD53">
        <v>53805.728999999999</v>
      </c>
      <c r="AF53" s="35"/>
    </row>
    <row r="54" spans="1:35" ht="15.75" customHeight="1">
      <c r="A54" s="31">
        <v>2018</v>
      </c>
      <c r="B54" s="31" t="s">
        <v>468</v>
      </c>
      <c r="C54" s="29">
        <v>2941</v>
      </c>
      <c r="D54" s="28">
        <v>142940.48000000001</v>
      </c>
      <c r="AA54">
        <v>2018</v>
      </c>
      <c r="AB54" t="s">
        <v>468</v>
      </c>
      <c r="AC54">
        <v>2941</v>
      </c>
      <c r="AD54">
        <v>142940.48000000001</v>
      </c>
    </row>
    <row r="55" spans="1:35" ht="15.75" customHeight="1">
      <c r="A55" s="31">
        <v>2019</v>
      </c>
      <c r="B55" s="31" t="s">
        <v>466</v>
      </c>
      <c r="C55" s="29">
        <v>17814</v>
      </c>
      <c r="D55" s="28">
        <v>731759.41299999994</v>
      </c>
      <c r="AA55">
        <v>2019</v>
      </c>
      <c r="AB55" t="s">
        <v>466</v>
      </c>
      <c r="AC55">
        <v>17814</v>
      </c>
      <c r="AD55">
        <v>731759.41299999994</v>
      </c>
    </row>
    <row r="56" spans="1:35" ht="15.75" customHeight="1">
      <c r="A56" s="31">
        <v>2019</v>
      </c>
      <c r="B56" s="31" t="s">
        <v>467</v>
      </c>
      <c r="C56" s="29">
        <v>4431</v>
      </c>
      <c r="D56" s="28">
        <v>56039.523999999998</v>
      </c>
      <c r="F56" s="2"/>
      <c r="AA56" s="2">
        <v>2019</v>
      </c>
      <c r="AB56" t="s">
        <v>467</v>
      </c>
      <c r="AC56">
        <v>4431</v>
      </c>
      <c r="AD56">
        <v>56039.523999999998</v>
      </c>
      <c r="AF56" s="2"/>
    </row>
    <row r="57" spans="1:35" ht="15.75" customHeight="1">
      <c r="A57" s="31">
        <v>2019</v>
      </c>
      <c r="B57" s="31" t="s">
        <v>468</v>
      </c>
      <c r="C57" s="29">
        <v>2814</v>
      </c>
      <c r="D57" s="28">
        <v>142055.557</v>
      </c>
      <c r="I57" s="38"/>
      <c r="AA57">
        <v>2019</v>
      </c>
      <c r="AB57" t="s">
        <v>468</v>
      </c>
      <c r="AC57">
        <v>2814</v>
      </c>
      <c r="AD57" s="38">
        <v>142055.557</v>
      </c>
      <c r="AI57" s="38"/>
    </row>
    <row r="58" spans="1:35" ht="15.75" customHeight="1">
      <c r="A58" s="31">
        <v>2020</v>
      </c>
      <c r="B58" s="31" t="s">
        <v>466</v>
      </c>
      <c r="C58" s="29">
        <v>19186</v>
      </c>
      <c r="D58" s="28">
        <v>824806.13699999999</v>
      </c>
      <c r="I58" s="38"/>
      <c r="AA58">
        <v>2020</v>
      </c>
      <c r="AB58" t="s">
        <v>466</v>
      </c>
      <c r="AC58">
        <v>19186</v>
      </c>
      <c r="AD58" s="38">
        <v>824806.13699999999</v>
      </c>
      <c r="AI58" s="38"/>
    </row>
    <row r="59" spans="1:35" ht="15.75" customHeight="1">
      <c r="A59" s="31">
        <v>2020</v>
      </c>
      <c r="B59" s="31" t="s">
        <v>467</v>
      </c>
      <c r="C59" s="29">
        <v>4712</v>
      </c>
      <c r="D59" s="28">
        <v>63952.898999999998</v>
      </c>
      <c r="I59" s="38"/>
      <c r="AA59">
        <v>2020</v>
      </c>
      <c r="AB59" t="s">
        <v>467</v>
      </c>
      <c r="AC59">
        <v>4712</v>
      </c>
      <c r="AD59" s="38">
        <v>63952.898999999998</v>
      </c>
      <c r="AI59" s="38"/>
    </row>
    <row r="60" spans="1:35" ht="15.75" customHeight="1">
      <c r="A60" s="31">
        <v>2020</v>
      </c>
      <c r="B60" s="31" t="s">
        <v>468</v>
      </c>
      <c r="C60" s="29">
        <v>2459</v>
      </c>
      <c r="D60" s="28">
        <v>123645.094</v>
      </c>
      <c r="F60" s="32"/>
      <c r="I60" s="38"/>
      <c r="AA60" s="32">
        <v>2020</v>
      </c>
      <c r="AB60" t="s">
        <v>468</v>
      </c>
      <c r="AC60">
        <v>2459</v>
      </c>
      <c r="AD60" s="38">
        <v>123645.094</v>
      </c>
      <c r="AF60" s="32"/>
      <c r="AI60" s="38"/>
    </row>
    <row r="61" spans="1:35" ht="15.75" customHeight="1">
      <c r="A61" s="31">
        <v>2021</v>
      </c>
      <c r="B61" s="31" t="s">
        <v>466</v>
      </c>
      <c r="C61" s="29">
        <v>17569</v>
      </c>
      <c r="D61" s="28">
        <v>825790.62</v>
      </c>
      <c r="I61" s="38"/>
      <c r="AA61">
        <v>2021</v>
      </c>
      <c r="AB61" t="s">
        <v>466</v>
      </c>
      <c r="AC61">
        <v>17569</v>
      </c>
      <c r="AD61" s="38">
        <v>825790.62</v>
      </c>
      <c r="AI61" s="38"/>
    </row>
    <row r="62" spans="1:35" ht="15.75" customHeight="1">
      <c r="A62" s="31">
        <v>2021</v>
      </c>
      <c r="B62" s="31" t="s">
        <v>467</v>
      </c>
      <c r="C62" s="29">
        <v>4435</v>
      </c>
      <c r="D62" s="28">
        <v>61561.836000000003</v>
      </c>
      <c r="I62" s="38"/>
      <c r="AA62">
        <v>2021</v>
      </c>
      <c r="AB62" t="s">
        <v>467</v>
      </c>
      <c r="AC62">
        <v>4435</v>
      </c>
      <c r="AD62" s="38">
        <v>61561.836000000003</v>
      </c>
      <c r="AI62" s="38"/>
    </row>
    <row r="63" spans="1:35" ht="15.75" customHeight="1">
      <c r="A63" s="31">
        <v>2021</v>
      </c>
      <c r="B63" s="31" t="s">
        <v>468</v>
      </c>
      <c r="C63" s="29">
        <v>2338</v>
      </c>
      <c r="D63" s="28">
        <v>137189.10800000001</v>
      </c>
      <c r="F63" s="34"/>
      <c r="AA63" s="34">
        <v>2021</v>
      </c>
      <c r="AB63" t="s">
        <v>468</v>
      </c>
      <c r="AC63">
        <v>2338</v>
      </c>
      <c r="AD63">
        <v>137189.10800000001</v>
      </c>
      <c r="AF63" s="3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4.part3">
                <anchor moveWithCells="1">
                  <from>
                    <xdr:col>4</xdr:col>
                    <xdr:colOff>371475</xdr:colOff>
                    <xdr:row>9</xdr:row>
                    <xdr:rowOff>38100</xdr:rowOff>
                  </from>
                  <to>
                    <xdr:col>5</xdr:col>
                    <xdr:colOff>619125</xdr:colOff>
                    <xdr:row>10</xdr:row>
                    <xdr:rowOff>190500</xdr:rowOff>
                  </to>
                </anchor>
              </controlPr>
            </control>
          </mc:Choice>
        </mc:AlternateContent>
        <mc:AlternateContent xmlns:mc="http://schemas.openxmlformats.org/markup-compatibility/2006">
          <mc:Choice Requires="x14">
            <control shapeId="5127" r:id="rId5" name="Button 7">
              <controlPr defaultSize="0" print="0" autoFill="0" autoPict="0" macro="[0]!Sheet4.reset">
                <anchor moveWithCells="1" sizeWithCells="1">
                  <from>
                    <xdr:col>4</xdr:col>
                    <xdr:colOff>314325</xdr:colOff>
                    <xdr:row>13</xdr:row>
                    <xdr:rowOff>123825</xdr:rowOff>
                  </from>
                  <to>
                    <xdr:col>5</xdr:col>
                    <xdr:colOff>619125</xdr:colOff>
                    <xdr:row>16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5EF91-4296-D347-854A-4A8103D3FE8A}">
  <sheetPr codeName="Sheet5"/>
  <dimension ref="A1:F502"/>
  <sheetViews>
    <sheetView workbookViewId="0">
      <selection activeCell="C12" sqref="C12"/>
    </sheetView>
  </sheetViews>
  <sheetFormatPr defaultColWidth="11" defaultRowHeight="15.75"/>
  <cols>
    <col min="1" max="1" width="48.375" customWidth="1"/>
    <col min="5" max="5" width="11" customWidth="1"/>
  </cols>
  <sheetData>
    <row r="1" spans="1:6">
      <c r="A1" t="s">
        <v>496</v>
      </c>
    </row>
    <row r="3" spans="1:6">
      <c r="A3" t="s">
        <v>474</v>
      </c>
      <c r="B3" t="s">
        <v>475</v>
      </c>
      <c r="C3" t="s">
        <v>476</v>
      </c>
      <c r="D3" t="s">
        <v>477</v>
      </c>
      <c r="E3" t="s">
        <v>478</v>
      </c>
      <c r="F3" t="s">
        <v>479</v>
      </c>
    </row>
    <row r="4" spans="1:6">
      <c r="A4" t="s">
        <v>480</v>
      </c>
      <c r="B4" t="s">
        <v>481</v>
      </c>
      <c r="C4" s="8">
        <v>40544</v>
      </c>
      <c r="D4" s="8">
        <v>44926</v>
      </c>
      <c r="E4" t="s">
        <v>482</v>
      </c>
      <c r="F4" t="s">
        <v>483</v>
      </c>
    </row>
    <row r="5" spans="1:6">
      <c r="A5" t="s">
        <v>484</v>
      </c>
      <c r="B5" t="s">
        <v>485</v>
      </c>
      <c r="C5" s="8">
        <v>40544</v>
      </c>
      <c r="D5" s="8">
        <v>44926</v>
      </c>
      <c r="E5" t="s">
        <v>482</v>
      </c>
      <c r="F5" t="s">
        <v>483</v>
      </c>
    </row>
    <row r="6" spans="1:6">
      <c r="A6" t="s">
        <v>486</v>
      </c>
      <c r="B6" t="s">
        <v>487</v>
      </c>
      <c r="C6" s="8">
        <v>40544</v>
      </c>
      <c r="D6" s="8">
        <v>44926</v>
      </c>
      <c r="E6" t="s">
        <v>482</v>
      </c>
      <c r="F6" t="s">
        <v>483</v>
      </c>
    </row>
    <row r="7" spans="1:6">
      <c r="A7" t="s">
        <v>488</v>
      </c>
      <c r="B7" t="s">
        <v>489</v>
      </c>
      <c r="C7" s="8">
        <v>40544</v>
      </c>
      <c r="D7" s="8">
        <v>44926</v>
      </c>
      <c r="E7" t="s">
        <v>482</v>
      </c>
      <c r="F7" t="s">
        <v>483</v>
      </c>
    </row>
    <row r="8" spans="1:6">
      <c r="C8" s="8"/>
      <c r="D8" s="8"/>
    </row>
    <row r="9" spans="1:6">
      <c r="C9" s="8"/>
      <c r="D9" s="8"/>
    </row>
    <row r="10" spans="1:6">
      <c r="C10" s="8"/>
      <c r="D10" s="8"/>
    </row>
    <row r="11" spans="1:6">
      <c r="C11" s="8"/>
      <c r="D11" s="8"/>
    </row>
    <row r="12" spans="1:6">
      <c r="C12" s="8"/>
      <c r="D12" s="8"/>
    </row>
    <row r="13" spans="1:6">
      <c r="C13" s="8"/>
      <c r="D13" s="8"/>
    </row>
    <row r="14" spans="1:6">
      <c r="C14" s="8"/>
      <c r="D14" s="8"/>
    </row>
    <row r="15" spans="1:6">
      <c r="C15" s="8"/>
      <c r="D15" s="8"/>
    </row>
    <row r="16" spans="1:6">
      <c r="C16" s="8"/>
      <c r="D16" s="8"/>
    </row>
    <row r="17" spans="3:4">
      <c r="C17" s="8"/>
      <c r="D17" s="8"/>
    </row>
    <row r="18" spans="3:4">
      <c r="C18" s="8"/>
      <c r="D18" s="8"/>
    </row>
    <row r="19" spans="3:4">
      <c r="C19" s="8"/>
      <c r="D19" s="8"/>
    </row>
    <row r="20" spans="3:4">
      <c r="C20" s="8"/>
      <c r="D20" s="8"/>
    </row>
    <row r="21" spans="3:4">
      <c r="C21" s="8"/>
      <c r="D21" s="8"/>
    </row>
    <row r="22" spans="3:4">
      <c r="C22" s="8"/>
      <c r="D22" s="8"/>
    </row>
    <row r="23" spans="3:4">
      <c r="C23" s="8"/>
      <c r="D23" s="8"/>
    </row>
    <row r="24" spans="3:4">
      <c r="C24" s="8"/>
      <c r="D24" s="8"/>
    </row>
    <row r="25" spans="3:4">
      <c r="C25" s="8"/>
      <c r="D25" s="8"/>
    </row>
    <row r="26" spans="3:4">
      <c r="C26" s="8"/>
      <c r="D26" s="8"/>
    </row>
    <row r="27" spans="3:4">
      <c r="C27" s="8"/>
      <c r="D27" s="8"/>
    </row>
    <row r="28" spans="3:4">
      <c r="C28" s="8"/>
      <c r="D28" s="8"/>
    </row>
    <row r="29" spans="3:4">
      <c r="C29" s="8"/>
      <c r="D29" s="8"/>
    </row>
    <row r="30" spans="3:4">
      <c r="C30" s="8"/>
      <c r="D30" s="8"/>
    </row>
    <row r="31" spans="3:4">
      <c r="C31" s="8"/>
      <c r="D31" s="8"/>
    </row>
    <row r="32" spans="3:4">
      <c r="C32" s="8"/>
      <c r="D32" s="8"/>
    </row>
    <row r="33" spans="3:4">
      <c r="C33" s="8"/>
      <c r="D33" s="8"/>
    </row>
    <row r="34" spans="3:4">
      <c r="C34" s="8"/>
      <c r="D34" s="8"/>
    </row>
    <row r="35" spans="3:4">
      <c r="C35" s="8"/>
      <c r="D35" s="8"/>
    </row>
    <row r="36" spans="3:4">
      <c r="C36" s="8"/>
      <c r="D36" s="8"/>
    </row>
    <row r="37" spans="3:4">
      <c r="C37" s="8"/>
      <c r="D37" s="8"/>
    </row>
    <row r="38" spans="3:4">
      <c r="C38" s="8"/>
      <c r="D38" s="8"/>
    </row>
    <row r="39" spans="3:4">
      <c r="C39" s="8"/>
      <c r="D39" s="8"/>
    </row>
    <row r="40" spans="3:4">
      <c r="C40" s="8"/>
      <c r="D40" s="8"/>
    </row>
    <row r="41" spans="3:4">
      <c r="C41" s="8"/>
      <c r="D41" s="8"/>
    </row>
    <row r="42" spans="3:4">
      <c r="C42" s="8"/>
      <c r="D42" s="8"/>
    </row>
    <row r="43" spans="3:4">
      <c r="C43" s="8"/>
      <c r="D43" s="8"/>
    </row>
    <row r="44" spans="3:4">
      <c r="C44" s="8"/>
      <c r="D44" s="8"/>
    </row>
    <row r="45" spans="3:4">
      <c r="C45" s="8"/>
      <c r="D45" s="8"/>
    </row>
    <row r="46" spans="3:4">
      <c r="C46" s="8"/>
      <c r="D46" s="8"/>
    </row>
    <row r="47" spans="3:4">
      <c r="C47" s="8"/>
      <c r="D47" s="8"/>
    </row>
    <row r="48" spans="3:4">
      <c r="C48" s="8"/>
      <c r="D48" s="8"/>
    </row>
    <row r="49" spans="3:4">
      <c r="C49" s="8"/>
      <c r="D49" s="8"/>
    </row>
    <row r="50" spans="3:4">
      <c r="C50" s="8"/>
      <c r="D50" s="8"/>
    </row>
    <row r="51" spans="3:4">
      <c r="C51" s="8"/>
      <c r="D51" s="8"/>
    </row>
    <row r="52" spans="3:4">
      <c r="C52" s="8"/>
      <c r="D52" s="8"/>
    </row>
    <row r="53" spans="3:4">
      <c r="C53" s="8"/>
      <c r="D53" s="8"/>
    </row>
    <row r="54" spans="3:4">
      <c r="C54" s="8"/>
      <c r="D54" s="8"/>
    </row>
    <row r="55" spans="3:4">
      <c r="C55" s="8"/>
      <c r="D55" s="8"/>
    </row>
    <row r="56" spans="3:4">
      <c r="C56" s="8"/>
      <c r="D56" s="8"/>
    </row>
    <row r="57" spans="3:4">
      <c r="C57" s="8"/>
      <c r="D57" s="8"/>
    </row>
    <row r="58" spans="3:4">
      <c r="C58" s="8"/>
      <c r="D58" s="8"/>
    </row>
    <row r="59" spans="3:4">
      <c r="C59" s="8"/>
      <c r="D59" s="8"/>
    </row>
    <row r="60" spans="3:4">
      <c r="C60" s="8"/>
      <c r="D60" s="8"/>
    </row>
    <row r="61" spans="3:4">
      <c r="C61" s="8"/>
      <c r="D61" s="8"/>
    </row>
    <row r="62" spans="3:4">
      <c r="C62" s="8"/>
      <c r="D62" s="8"/>
    </row>
    <row r="63" spans="3:4">
      <c r="C63" s="8"/>
      <c r="D63" s="8"/>
    </row>
    <row r="64" spans="3:4">
      <c r="C64" s="8"/>
      <c r="D64" s="8"/>
    </row>
    <row r="65" spans="3:4">
      <c r="C65" s="8"/>
      <c r="D65" s="8"/>
    </row>
    <row r="66" spans="3:4">
      <c r="C66" s="8"/>
      <c r="D66" s="8"/>
    </row>
    <row r="67" spans="3:4">
      <c r="C67" s="8"/>
      <c r="D67" s="8"/>
    </row>
    <row r="68" spans="3:4">
      <c r="C68" s="8"/>
      <c r="D68" s="8"/>
    </row>
    <row r="69" spans="3:4">
      <c r="C69" s="8"/>
      <c r="D69" s="8"/>
    </row>
    <row r="70" spans="3:4">
      <c r="C70" s="8"/>
      <c r="D70" s="8"/>
    </row>
    <row r="71" spans="3:4">
      <c r="C71" s="8"/>
      <c r="D71" s="8"/>
    </row>
    <row r="72" spans="3:4">
      <c r="C72" s="8"/>
      <c r="D72" s="8"/>
    </row>
    <row r="73" spans="3:4">
      <c r="C73" s="8"/>
      <c r="D73" s="8"/>
    </row>
    <row r="74" spans="3:4">
      <c r="C74" s="8"/>
      <c r="D74" s="8"/>
    </row>
    <row r="75" spans="3:4">
      <c r="C75" s="8"/>
      <c r="D75" s="8"/>
    </row>
    <row r="76" spans="3:4">
      <c r="C76" s="8"/>
      <c r="D76" s="8"/>
    </row>
    <row r="77" spans="3:4">
      <c r="C77" s="8"/>
      <c r="D77" s="8"/>
    </row>
    <row r="78" spans="3:4">
      <c r="C78" s="8"/>
      <c r="D78" s="8"/>
    </row>
    <row r="79" spans="3:4">
      <c r="C79" s="8"/>
      <c r="D79" s="8"/>
    </row>
    <row r="80" spans="3:4">
      <c r="C80" s="8"/>
      <c r="D80" s="8"/>
    </row>
    <row r="81" spans="3:4">
      <c r="C81" s="8"/>
      <c r="D81" s="8"/>
    </row>
    <row r="82" spans="3:4">
      <c r="C82" s="8"/>
      <c r="D82" s="8"/>
    </row>
    <row r="83" spans="3:4">
      <c r="C83" s="8"/>
      <c r="D83" s="8"/>
    </row>
    <row r="84" spans="3:4">
      <c r="C84" s="8"/>
      <c r="D84" s="8"/>
    </row>
    <row r="85" spans="3:4">
      <c r="C85" s="8"/>
      <c r="D85" s="8"/>
    </row>
    <row r="86" spans="3:4">
      <c r="C86" s="8"/>
      <c r="D86" s="8"/>
    </row>
    <row r="87" spans="3:4">
      <c r="C87" s="8"/>
      <c r="D87" s="8"/>
    </row>
    <row r="88" spans="3:4">
      <c r="C88" s="8"/>
      <c r="D88" s="8"/>
    </row>
    <row r="89" spans="3:4">
      <c r="C89" s="8"/>
      <c r="D89" s="8"/>
    </row>
    <row r="90" spans="3:4">
      <c r="C90" s="8"/>
      <c r="D90" s="8"/>
    </row>
    <row r="91" spans="3:4">
      <c r="C91" s="8"/>
      <c r="D91" s="8"/>
    </row>
    <row r="92" spans="3:4">
      <c r="C92" s="8"/>
      <c r="D92" s="8"/>
    </row>
    <row r="93" spans="3:4">
      <c r="C93" s="8"/>
      <c r="D93" s="8"/>
    </row>
    <row r="94" spans="3:4">
      <c r="C94" s="8"/>
      <c r="D94" s="8"/>
    </row>
    <row r="95" spans="3:4">
      <c r="C95" s="8"/>
      <c r="D95" s="8"/>
    </row>
    <row r="96" spans="3:4">
      <c r="C96" s="8"/>
      <c r="D96" s="8"/>
    </row>
    <row r="97" spans="3:4">
      <c r="C97" s="8"/>
      <c r="D97" s="8"/>
    </row>
    <row r="98" spans="3:4">
      <c r="C98" s="8"/>
      <c r="D98" s="8"/>
    </row>
    <row r="99" spans="3:4">
      <c r="C99" s="8"/>
      <c r="D99" s="8"/>
    </row>
    <row r="100" spans="3:4">
      <c r="C100" s="8"/>
      <c r="D100" s="8"/>
    </row>
    <row r="101" spans="3:4">
      <c r="C101" s="8"/>
      <c r="D101" s="8"/>
    </row>
    <row r="102" spans="3:4">
      <c r="C102" s="8"/>
      <c r="D102" s="8"/>
    </row>
    <row r="103" spans="3:4">
      <c r="C103" s="8"/>
      <c r="D103" s="8"/>
    </row>
    <row r="104" spans="3:4">
      <c r="C104" s="8"/>
      <c r="D104" s="8"/>
    </row>
    <row r="105" spans="3:4">
      <c r="C105" s="8"/>
      <c r="D105" s="8"/>
    </row>
    <row r="106" spans="3:4">
      <c r="C106" s="8"/>
      <c r="D106" s="8"/>
    </row>
    <row r="107" spans="3:4">
      <c r="C107" s="8"/>
      <c r="D107" s="8"/>
    </row>
    <row r="108" spans="3:4">
      <c r="C108" s="8"/>
      <c r="D108" s="8"/>
    </row>
    <row r="109" spans="3:4">
      <c r="C109" s="8"/>
      <c r="D109" s="8"/>
    </row>
    <row r="110" spans="3:4">
      <c r="C110" s="8"/>
      <c r="D110" s="8"/>
    </row>
    <row r="111" spans="3:4">
      <c r="C111" s="8"/>
      <c r="D111" s="8"/>
    </row>
    <row r="112" spans="3:4">
      <c r="C112" s="8"/>
      <c r="D112" s="8"/>
    </row>
    <row r="113" spans="3:4">
      <c r="C113" s="8"/>
      <c r="D113" s="8"/>
    </row>
    <row r="114" spans="3:4">
      <c r="C114" s="8"/>
      <c r="D114" s="8"/>
    </row>
    <row r="115" spans="3:4">
      <c r="C115" s="8"/>
      <c r="D115" s="8"/>
    </row>
    <row r="116" spans="3:4">
      <c r="C116" s="8"/>
      <c r="D116" s="8"/>
    </row>
    <row r="117" spans="3:4">
      <c r="C117" s="8"/>
      <c r="D117" s="8"/>
    </row>
    <row r="118" spans="3:4">
      <c r="C118" s="8"/>
      <c r="D118" s="8"/>
    </row>
    <row r="119" spans="3:4">
      <c r="C119" s="8"/>
      <c r="D119" s="8"/>
    </row>
    <row r="120" spans="3:4">
      <c r="C120" s="8"/>
      <c r="D120" s="8"/>
    </row>
    <row r="121" spans="3:4">
      <c r="C121" s="8"/>
      <c r="D121" s="8"/>
    </row>
    <row r="122" spans="3:4">
      <c r="C122" s="8"/>
      <c r="D122" s="8"/>
    </row>
    <row r="123" spans="3:4">
      <c r="C123" s="8"/>
      <c r="D123" s="8"/>
    </row>
    <row r="124" spans="3:4">
      <c r="C124" s="8"/>
      <c r="D124" s="8"/>
    </row>
    <row r="125" spans="3:4">
      <c r="C125" s="8"/>
      <c r="D125" s="8"/>
    </row>
    <row r="126" spans="3:4">
      <c r="C126" s="8"/>
      <c r="D126" s="8"/>
    </row>
    <row r="127" spans="3:4">
      <c r="C127" s="8"/>
      <c r="D127" s="8"/>
    </row>
    <row r="128" spans="3:4">
      <c r="C128" s="8"/>
      <c r="D128" s="8"/>
    </row>
    <row r="129" spans="3:4">
      <c r="C129" s="8"/>
      <c r="D129" s="8"/>
    </row>
    <row r="130" spans="3:4">
      <c r="C130" s="8"/>
      <c r="D130" s="8"/>
    </row>
    <row r="131" spans="3:4">
      <c r="C131" s="8"/>
      <c r="D131" s="8"/>
    </row>
    <row r="132" spans="3:4">
      <c r="C132" s="8"/>
      <c r="D132" s="8"/>
    </row>
    <row r="133" spans="3:4">
      <c r="C133" s="8"/>
      <c r="D133" s="8"/>
    </row>
    <row r="134" spans="3:4">
      <c r="C134" s="8"/>
      <c r="D134" s="8"/>
    </row>
    <row r="135" spans="3:4">
      <c r="C135" s="8"/>
      <c r="D135" s="8"/>
    </row>
    <row r="136" spans="3:4">
      <c r="C136" s="8"/>
      <c r="D136" s="8"/>
    </row>
    <row r="137" spans="3:4">
      <c r="C137" s="8"/>
      <c r="D137" s="8"/>
    </row>
    <row r="138" spans="3:4">
      <c r="C138" s="8"/>
      <c r="D138" s="8"/>
    </row>
    <row r="139" spans="3:4">
      <c r="C139" s="8"/>
      <c r="D139" s="8"/>
    </row>
    <row r="140" spans="3:4">
      <c r="C140" s="8"/>
      <c r="D140" s="8"/>
    </row>
    <row r="141" spans="3:4">
      <c r="C141" s="8"/>
      <c r="D141" s="8"/>
    </row>
    <row r="142" spans="3:4">
      <c r="C142" s="8"/>
      <c r="D142" s="8"/>
    </row>
    <row r="143" spans="3:4">
      <c r="C143" s="8"/>
      <c r="D143" s="8"/>
    </row>
    <row r="144" spans="3:4">
      <c r="C144" s="8"/>
      <c r="D144" s="8"/>
    </row>
    <row r="145" spans="3:4">
      <c r="C145" s="8"/>
      <c r="D145" s="8"/>
    </row>
    <row r="146" spans="3:4">
      <c r="C146" s="8"/>
      <c r="D146" s="8"/>
    </row>
    <row r="147" spans="3:4">
      <c r="C147" s="8"/>
      <c r="D147" s="8"/>
    </row>
    <row r="148" spans="3:4">
      <c r="C148" s="8"/>
      <c r="D148" s="8"/>
    </row>
    <row r="149" spans="3:4">
      <c r="C149" s="8"/>
      <c r="D149" s="8"/>
    </row>
    <row r="150" spans="3:4">
      <c r="C150" s="8"/>
      <c r="D150" s="8"/>
    </row>
    <row r="151" spans="3:4">
      <c r="C151" s="8"/>
      <c r="D151" s="8"/>
    </row>
    <row r="152" spans="3:4">
      <c r="C152" s="8"/>
      <c r="D152" s="8"/>
    </row>
    <row r="153" spans="3:4">
      <c r="C153" s="8"/>
      <c r="D153" s="8"/>
    </row>
    <row r="154" spans="3:4">
      <c r="C154" s="8"/>
      <c r="D154" s="8"/>
    </row>
    <row r="155" spans="3:4">
      <c r="C155" s="8"/>
      <c r="D155" s="8"/>
    </row>
    <row r="156" spans="3:4">
      <c r="C156" s="8"/>
      <c r="D156" s="8"/>
    </row>
    <row r="157" spans="3:4">
      <c r="C157" s="8"/>
      <c r="D157" s="8"/>
    </row>
    <row r="158" spans="3:4">
      <c r="C158" s="8"/>
      <c r="D158" s="8"/>
    </row>
    <row r="159" spans="3:4">
      <c r="C159" s="8"/>
      <c r="D159" s="8"/>
    </row>
    <row r="160" spans="3:4">
      <c r="C160" s="8"/>
      <c r="D160" s="8"/>
    </row>
    <row r="161" spans="3:4">
      <c r="C161" s="8"/>
      <c r="D161" s="8"/>
    </row>
    <row r="162" spans="3:4">
      <c r="C162" s="8"/>
      <c r="D162" s="8"/>
    </row>
    <row r="163" spans="3:4">
      <c r="C163" s="8"/>
      <c r="D163" s="8"/>
    </row>
    <row r="164" spans="3:4">
      <c r="C164" s="8"/>
      <c r="D164" s="8"/>
    </row>
    <row r="165" spans="3:4">
      <c r="C165" s="8"/>
      <c r="D165" s="8"/>
    </row>
    <row r="166" spans="3:4">
      <c r="C166" s="8"/>
      <c r="D166" s="8"/>
    </row>
    <row r="167" spans="3:4">
      <c r="C167" s="8"/>
      <c r="D167" s="8"/>
    </row>
    <row r="168" spans="3:4">
      <c r="C168" s="8"/>
      <c r="D168" s="8"/>
    </row>
    <row r="169" spans="3:4">
      <c r="C169" s="8"/>
      <c r="D169" s="8"/>
    </row>
    <row r="170" spans="3:4">
      <c r="C170" s="8"/>
      <c r="D170" s="8"/>
    </row>
    <row r="171" spans="3:4">
      <c r="C171" s="8"/>
      <c r="D171" s="8"/>
    </row>
    <row r="172" spans="3:4">
      <c r="C172" s="8"/>
      <c r="D172" s="8"/>
    </row>
    <row r="173" spans="3:4">
      <c r="C173" s="8"/>
      <c r="D173" s="8"/>
    </row>
    <row r="174" spans="3:4">
      <c r="C174" s="8"/>
      <c r="D174" s="8"/>
    </row>
    <row r="175" spans="3:4">
      <c r="C175" s="8"/>
      <c r="D175" s="8"/>
    </row>
    <row r="176" spans="3:4">
      <c r="C176" s="8"/>
      <c r="D176" s="8"/>
    </row>
    <row r="177" spans="3:4">
      <c r="C177" s="8"/>
      <c r="D177" s="8"/>
    </row>
    <row r="178" spans="3:4">
      <c r="C178" s="8"/>
      <c r="D178" s="8"/>
    </row>
    <row r="179" spans="3:4">
      <c r="C179" s="8"/>
      <c r="D179" s="8"/>
    </row>
    <row r="180" spans="3:4">
      <c r="C180" s="8"/>
      <c r="D180" s="8"/>
    </row>
    <row r="181" spans="3:4">
      <c r="C181" s="8"/>
      <c r="D181" s="8"/>
    </row>
    <row r="182" spans="3:4">
      <c r="C182" s="8"/>
      <c r="D182" s="8"/>
    </row>
    <row r="183" spans="3:4">
      <c r="C183" s="8"/>
      <c r="D183" s="8"/>
    </row>
    <row r="184" spans="3:4">
      <c r="C184" s="8"/>
      <c r="D184" s="8"/>
    </row>
    <row r="185" spans="3:4">
      <c r="C185" s="8"/>
      <c r="D185" s="8"/>
    </row>
    <row r="186" spans="3:4">
      <c r="C186" s="8"/>
      <c r="D186" s="8"/>
    </row>
    <row r="187" spans="3:4">
      <c r="C187" s="8"/>
      <c r="D187" s="8"/>
    </row>
    <row r="188" spans="3:4">
      <c r="C188" s="8"/>
      <c r="D188" s="8"/>
    </row>
    <row r="189" spans="3:4">
      <c r="C189" s="8"/>
      <c r="D189" s="8"/>
    </row>
    <row r="190" spans="3:4">
      <c r="C190" s="8"/>
      <c r="D190" s="8"/>
    </row>
    <row r="191" spans="3:4">
      <c r="C191" s="8"/>
      <c r="D191" s="8"/>
    </row>
    <row r="192" spans="3:4">
      <c r="C192" s="8"/>
      <c r="D192" s="8"/>
    </row>
    <row r="193" spans="3:4">
      <c r="C193" s="8"/>
      <c r="D193" s="8"/>
    </row>
    <row r="194" spans="3:4">
      <c r="C194" s="8"/>
      <c r="D194" s="8"/>
    </row>
    <row r="195" spans="3:4">
      <c r="C195" s="8"/>
      <c r="D195" s="8"/>
    </row>
    <row r="196" spans="3:4">
      <c r="C196" s="8"/>
      <c r="D196" s="8"/>
    </row>
    <row r="197" spans="3:4">
      <c r="C197" s="8"/>
      <c r="D197" s="8"/>
    </row>
    <row r="198" spans="3:4">
      <c r="C198" s="8"/>
      <c r="D198" s="8"/>
    </row>
    <row r="199" spans="3:4">
      <c r="C199" s="8"/>
      <c r="D199" s="8"/>
    </row>
    <row r="200" spans="3:4">
      <c r="C200" s="8"/>
      <c r="D200" s="8"/>
    </row>
    <row r="201" spans="3:4">
      <c r="C201" s="8"/>
      <c r="D201" s="8"/>
    </row>
    <row r="202" spans="3:4">
      <c r="C202" s="8"/>
      <c r="D202" s="8"/>
    </row>
    <row r="203" spans="3:4">
      <c r="C203" s="8"/>
      <c r="D203" s="8"/>
    </row>
    <row r="204" spans="3:4">
      <c r="C204" s="8"/>
      <c r="D204" s="8"/>
    </row>
    <row r="205" spans="3:4">
      <c r="C205" s="8"/>
      <c r="D205" s="8"/>
    </row>
    <row r="206" spans="3:4">
      <c r="C206" s="8"/>
      <c r="D206" s="8"/>
    </row>
    <row r="207" spans="3:4">
      <c r="C207" s="8"/>
      <c r="D207" s="8"/>
    </row>
    <row r="208" spans="3:4">
      <c r="C208" s="8"/>
      <c r="D208" s="8"/>
    </row>
    <row r="209" spans="3:4">
      <c r="C209" s="8"/>
      <c r="D209" s="8"/>
    </row>
    <row r="210" spans="3:4">
      <c r="C210" s="8"/>
      <c r="D210" s="8"/>
    </row>
    <row r="211" spans="3:4">
      <c r="C211" s="8"/>
      <c r="D211" s="8"/>
    </row>
    <row r="212" spans="3:4">
      <c r="C212" s="8"/>
      <c r="D212" s="8"/>
    </row>
    <row r="213" spans="3:4">
      <c r="C213" s="8"/>
      <c r="D213" s="8"/>
    </row>
    <row r="214" spans="3:4">
      <c r="C214" s="8"/>
      <c r="D214" s="8"/>
    </row>
    <row r="215" spans="3:4">
      <c r="C215" s="8"/>
      <c r="D215" s="8"/>
    </row>
    <row r="216" spans="3:4">
      <c r="C216" s="8"/>
      <c r="D216" s="8"/>
    </row>
    <row r="217" spans="3:4">
      <c r="C217" s="8"/>
      <c r="D217" s="8"/>
    </row>
    <row r="218" spans="3:4">
      <c r="C218" s="8"/>
      <c r="D218" s="8"/>
    </row>
    <row r="219" spans="3:4">
      <c r="C219" s="8"/>
      <c r="D219" s="8"/>
    </row>
    <row r="220" spans="3:4">
      <c r="C220" s="8"/>
      <c r="D220" s="8"/>
    </row>
    <row r="221" spans="3:4">
      <c r="C221" s="8"/>
      <c r="D221" s="8"/>
    </row>
    <row r="222" spans="3:4">
      <c r="C222" s="8"/>
      <c r="D222" s="8"/>
    </row>
    <row r="223" spans="3:4">
      <c r="C223" s="8"/>
      <c r="D223" s="8"/>
    </row>
    <row r="224" spans="3:4">
      <c r="C224" s="8"/>
      <c r="D224" s="8"/>
    </row>
    <row r="225" spans="3:4">
      <c r="C225" s="8"/>
      <c r="D225" s="8"/>
    </row>
    <row r="226" spans="3:4">
      <c r="C226" s="8"/>
      <c r="D226" s="8"/>
    </row>
    <row r="227" spans="3:4">
      <c r="C227" s="8"/>
      <c r="D227" s="8"/>
    </row>
    <row r="228" spans="3:4">
      <c r="C228" s="8"/>
      <c r="D228" s="8"/>
    </row>
    <row r="229" spans="3:4">
      <c r="C229" s="8"/>
      <c r="D229" s="8"/>
    </row>
    <row r="230" spans="3:4">
      <c r="C230" s="8"/>
      <c r="D230" s="8"/>
    </row>
    <row r="231" spans="3:4">
      <c r="C231" s="8"/>
      <c r="D231" s="8"/>
    </row>
    <row r="232" spans="3:4">
      <c r="C232" s="8"/>
      <c r="D232" s="8"/>
    </row>
    <row r="233" spans="3:4">
      <c r="C233" s="8"/>
      <c r="D233" s="8"/>
    </row>
    <row r="234" spans="3:4">
      <c r="C234" s="8"/>
      <c r="D234" s="8"/>
    </row>
    <row r="235" spans="3:4">
      <c r="C235" s="8"/>
      <c r="D235" s="8"/>
    </row>
    <row r="236" spans="3:4">
      <c r="C236" s="8"/>
      <c r="D236" s="8"/>
    </row>
    <row r="237" spans="3:4">
      <c r="C237" s="8"/>
      <c r="D237" s="8"/>
    </row>
    <row r="238" spans="3:4">
      <c r="C238" s="8"/>
      <c r="D238" s="8"/>
    </row>
    <row r="239" spans="3:4">
      <c r="C239" s="8"/>
      <c r="D239" s="8"/>
    </row>
    <row r="240" spans="3:4">
      <c r="C240" s="8"/>
      <c r="D240" s="8"/>
    </row>
    <row r="241" spans="3:4">
      <c r="C241" s="8"/>
      <c r="D241" s="8"/>
    </row>
    <row r="242" spans="3:4">
      <c r="C242" s="8"/>
      <c r="D242" s="8"/>
    </row>
    <row r="243" spans="3:4">
      <c r="C243" s="8"/>
      <c r="D243" s="8"/>
    </row>
    <row r="244" spans="3:4">
      <c r="C244" s="8"/>
      <c r="D244" s="8"/>
    </row>
    <row r="245" spans="3:4">
      <c r="C245" s="8"/>
      <c r="D245" s="8"/>
    </row>
    <row r="246" spans="3:4">
      <c r="C246" s="8"/>
      <c r="D246" s="8"/>
    </row>
    <row r="247" spans="3:4">
      <c r="C247" s="8"/>
      <c r="D247" s="8"/>
    </row>
    <row r="248" spans="3:4">
      <c r="C248" s="8"/>
      <c r="D248" s="8"/>
    </row>
    <row r="249" spans="3:4">
      <c r="C249" s="8"/>
      <c r="D249" s="8"/>
    </row>
    <row r="250" spans="3:4">
      <c r="C250" s="8"/>
      <c r="D250" s="8"/>
    </row>
    <row r="251" spans="3:4">
      <c r="C251" s="8"/>
      <c r="D251" s="8"/>
    </row>
    <row r="252" spans="3:4">
      <c r="C252" s="8"/>
      <c r="D252" s="8"/>
    </row>
    <row r="253" spans="3:4">
      <c r="C253" s="8"/>
      <c r="D253" s="8"/>
    </row>
    <row r="254" spans="3:4">
      <c r="C254" s="8"/>
      <c r="D254" s="8"/>
    </row>
    <row r="255" spans="3:4">
      <c r="C255" s="8"/>
      <c r="D255" s="8"/>
    </row>
    <row r="256" spans="3:4">
      <c r="C256" s="8"/>
      <c r="D256" s="8"/>
    </row>
    <row r="257" spans="3:4">
      <c r="C257" s="8"/>
      <c r="D257" s="8"/>
    </row>
    <row r="258" spans="3:4">
      <c r="C258" s="8"/>
      <c r="D258" s="8"/>
    </row>
    <row r="259" spans="3:4">
      <c r="C259" s="8"/>
      <c r="D259" s="8"/>
    </row>
    <row r="260" spans="3:4">
      <c r="C260" s="8"/>
      <c r="D260" s="8"/>
    </row>
    <row r="261" spans="3:4">
      <c r="C261" s="8"/>
      <c r="D261" s="8"/>
    </row>
    <row r="262" spans="3:4">
      <c r="C262" s="8"/>
      <c r="D262" s="8"/>
    </row>
    <row r="263" spans="3:4">
      <c r="C263" s="8"/>
      <c r="D263" s="8"/>
    </row>
    <row r="264" spans="3:4">
      <c r="C264" s="8"/>
      <c r="D264" s="8"/>
    </row>
    <row r="265" spans="3:4">
      <c r="C265" s="8"/>
      <c r="D265" s="8"/>
    </row>
    <row r="266" spans="3:4">
      <c r="C266" s="8"/>
      <c r="D266" s="8"/>
    </row>
    <row r="267" spans="3:4">
      <c r="C267" s="8"/>
      <c r="D267" s="8"/>
    </row>
    <row r="268" spans="3:4">
      <c r="C268" s="8"/>
      <c r="D268" s="8"/>
    </row>
    <row r="269" spans="3:4">
      <c r="C269" s="8"/>
      <c r="D269" s="8"/>
    </row>
    <row r="270" spans="3:4">
      <c r="C270" s="8"/>
      <c r="D270" s="8"/>
    </row>
    <row r="271" spans="3:4">
      <c r="C271" s="8"/>
      <c r="D271" s="8"/>
    </row>
    <row r="272" spans="3:4">
      <c r="C272" s="8"/>
      <c r="D272" s="8"/>
    </row>
    <row r="273" spans="3:4">
      <c r="C273" s="8"/>
      <c r="D273" s="8"/>
    </row>
    <row r="274" spans="3:4">
      <c r="C274" s="8"/>
      <c r="D274" s="8"/>
    </row>
    <row r="275" spans="3:4">
      <c r="C275" s="8"/>
      <c r="D275" s="8"/>
    </row>
    <row r="276" spans="3:4">
      <c r="C276" s="8"/>
      <c r="D276" s="8"/>
    </row>
    <row r="277" spans="3:4">
      <c r="C277" s="8"/>
      <c r="D277" s="8"/>
    </row>
    <row r="278" spans="3:4">
      <c r="C278" s="8"/>
      <c r="D278" s="8"/>
    </row>
    <row r="279" spans="3:4">
      <c r="C279" s="8"/>
      <c r="D279" s="8"/>
    </row>
    <row r="280" spans="3:4">
      <c r="C280" s="8"/>
      <c r="D280" s="8"/>
    </row>
    <row r="281" spans="3:4">
      <c r="C281" s="8"/>
      <c r="D281" s="8"/>
    </row>
    <row r="282" spans="3:4">
      <c r="C282" s="8"/>
      <c r="D282" s="8"/>
    </row>
    <row r="283" spans="3:4">
      <c r="C283" s="8"/>
      <c r="D283" s="8"/>
    </row>
    <row r="284" spans="3:4">
      <c r="C284" s="8"/>
      <c r="D284" s="8"/>
    </row>
    <row r="285" spans="3:4">
      <c r="C285" s="8"/>
      <c r="D285" s="8"/>
    </row>
    <row r="286" spans="3:4">
      <c r="C286" s="8"/>
      <c r="D286" s="8"/>
    </row>
    <row r="287" spans="3:4">
      <c r="C287" s="8"/>
      <c r="D287" s="8"/>
    </row>
    <row r="288" spans="3:4">
      <c r="C288" s="8"/>
      <c r="D288" s="8"/>
    </row>
    <row r="289" spans="3:4">
      <c r="C289" s="8"/>
      <c r="D289" s="8"/>
    </row>
    <row r="290" spans="3:4">
      <c r="C290" s="8"/>
      <c r="D290" s="8"/>
    </row>
    <row r="291" spans="3:4">
      <c r="C291" s="8"/>
      <c r="D291" s="8"/>
    </row>
    <row r="292" spans="3:4">
      <c r="C292" s="8"/>
      <c r="D292" s="8"/>
    </row>
    <row r="293" spans="3:4">
      <c r="C293" s="8"/>
      <c r="D293" s="8"/>
    </row>
    <row r="294" spans="3:4">
      <c r="C294" s="8"/>
      <c r="D294" s="8"/>
    </row>
    <row r="295" spans="3:4">
      <c r="C295" s="8"/>
      <c r="D295" s="8"/>
    </row>
    <row r="296" spans="3:4">
      <c r="C296" s="8"/>
      <c r="D296" s="8"/>
    </row>
    <row r="297" spans="3:4">
      <c r="C297" s="8"/>
      <c r="D297" s="8"/>
    </row>
    <row r="298" spans="3:4">
      <c r="C298" s="8"/>
      <c r="D298" s="8"/>
    </row>
    <row r="299" spans="3:4">
      <c r="C299" s="8"/>
      <c r="D299" s="8"/>
    </row>
    <row r="300" spans="3:4">
      <c r="C300" s="8"/>
      <c r="D300" s="8"/>
    </row>
    <row r="301" spans="3:4">
      <c r="C301" s="8"/>
      <c r="D301" s="8"/>
    </row>
    <row r="302" spans="3:4">
      <c r="C302" s="8"/>
      <c r="D302" s="8"/>
    </row>
    <row r="303" spans="3:4">
      <c r="C303" s="8"/>
      <c r="D303" s="8"/>
    </row>
    <row r="304" spans="3:4">
      <c r="C304" s="8"/>
      <c r="D304" s="8"/>
    </row>
    <row r="305" spans="3:4">
      <c r="C305" s="8"/>
      <c r="D305" s="8"/>
    </row>
    <row r="306" spans="3:4">
      <c r="C306" s="8"/>
      <c r="D306" s="8"/>
    </row>
    <row r="307" spans="3:4">
      <c r="C307" s="8"/>
      <c r="D307" s="8"/>
    </row>
    <row r="308" spans="3:4">
      <c r="C308" s="8"/>
      <c r="D308" s="8"/>
    </row>
    <row r="309" spans="3:4">
      <c r="C309" s="8"/>
      <c r="D309" s="8"/>
    </row>
    <row r="310" spans="3:4">
      <c r="C310" s="8"/>
      <c r="D310" s="8"/>
    </row>
    <row r="311" spans="3:4">
      <c r="C311" s="8"/>
      <c r="D311" s="8"/>
    </row>
    <row r="312" spans="3:4">
      <c r="C312" s="8"/>
      <c r="D312" s="8"/>
    </row>
    <row r="313" spans="3:4">
      <c r="C313" s="8"/>
      <c r="D313" s="8"/>
    </row>
    <row r="314" spans="3:4">
      <c r="C314" s="8"/>
      <c r="D314" s="8"/>
    </row>
    <row r="315" spans="3:4">
      <c r="C315" s="8"/>
      <c r="D315" s="8"/>
    </row>
    <row r="316" spans="3:4">
      <c r="C316" s="8"/>
      <c r="D316" s="8"/>
    </row>
    <row r="317" spans="3:4">
      <c r="C317" s="8"/>
      <c r="D317" s="8"/>
    </row>
    <row r="318" spans="3:4">
      <c r="C318" s="8"/>
      <c r="D318" s="8"/>
    </row>
    <row r="319" spans="3:4">
      <c r="C319" s="8"/>
      <c r="D319" s="8"/>
    </row>
    <row r="320" spans="3:4">
      <c r="C320" s="8"/>
      <c r="D320" s="8"/>
    </row>
    <row r="321" spans="3:4">
      <c r="C321" s="8"/>
      <c r="D321" s="8"/>
    </row>
    <row r="322" spans="3:4">
      <c r="C322" s="8"/>
      <c r="D322" s="8"/>
    </row>
    <row r="323" spans="3:4">
      <c r="C323" s="8"/>
      <c r="D323" s="8"/>
    </row>
    <row r="324" spans="3:4">
      <c r="C324" s="8"/>
      <c r="D324" s="8"/>
    </row>
    <row r="325" spans="3:4">
      <c r="C325" s="8"/>
      <c r="D325" s="8"/>
    </row>
    <row r="326" spans="3:4">
      <c r="C326" s="8"/>
      <c r="D326" s="8"/>
    </row>
    <row r="327" spans="3:4">
      <c r="C327" s="8"/>
      <c r="D327" s="8"/>
    </row>
    <row r="328" spans="3:4">
      <c r="C328" s="8"/>
      <c r="D328" s="8"/>
    </row>
    <row r="329" spans="3:4">
      <c r="C329" s="8"/>
      <c r="D329" s="8"/>
    </row>
    <row r="330" spans="3:4">
      <c r="C330" s="8"/>
      <c r="D330" s="8"/>
    </row>
    <row r="331" spans="3:4">
      <c r="C331" s="8"/>
      <c r="D331" s="8"/>
    </row>
    <row r="332" spans="3:4">
      <c r="C332" s="8"/>
      <c r="D332" s="8"/>
    </row>
    <row r="333" spans="3:4">
      <c r="C333" s="8"/>
      <c r="D333" s="8"/>
    </row>
    <row r="334" spans="3:4">
      <c r="C334" s="8"/>
      <c r="D334" s="8"/>
    </row>
    <row r="335" spans="3:4">
      <c r="C335" s="8"/>
      <c r="D335" s="8"/>
    </row>
    <row r="336" spans="3:4">
      <c r="C336" s="8"/>
      <c r="D336" s="8"/>
    </row>
    <row r="337" spans="3:4">
      <c r="C337" s="8"/>
      <c r="D337" s="8"/>
    </row>
    <row r="338" spans="3:4">
      <c r="C338" s="8"/>
      <c r="D338" s="8"/>
    </row>
    <row r="339" spans="3:4">
      <c r="C339" s="8"/>
      <c r="D339" s="8"/>
    </row>
    <row r="340" spans="3:4">
      <c r="C340" s="8"/>
      <c r="D340" s="8"/>
    </row>
    <row r="341" spans="3:4">
      <c r="C341" s="8"/>
      <c r="D341" s="8"/>
    </row>
    <row r="342" spans="3:4">
      <c r="C342" s="8"/>
      <c r="D342" s="8"/>
    </row>
    <row r="343" spans="3:4">
      <c r="C343" s="8"/>
      <c r="D343" s="8"/>
    </row>
    <row r="344" spans="3:4">
      <c r="C344" s="8"/>
      <c r="D344" s="8"/>
    </row>
    <row r="345" spans="3:4">
      <c r="C345" s="8"/>
      <c r="D345" s="8"/>
    </row>
    <row r="346" spans="3:4">
      <c r="C346" s="8"/>
      <c r="D346" s="8"/>
    </row>
    <row r="347" spans="3:4">
      <c r="C347" s="8"/>
      <c r="D347" s="8"/>
    </row>
    <row r="348" spans="3:4">
      <c r="C348" s="8"/>
      <c r="D348" s="8"/>
    </row>
    <row r="349" spans="3:4">
      <c r="C349" s="8"/>
      <c r="D349" s="8"/>
    </row>
    <row r="350" spans="3:4">
      <c r="C350" s="8"/>
      <c r="D350" s="8"/>
    </row>
    <row r="351" spans="3:4">
      <c r="C351" s="8"/>
      <c r="D351" s="8"/>
    </row>
    <row r="352" spans="3:4">
      <c r="C352" s="8"/>
      <c r="D352" s="8"/>
    </row>
    <row r="353" spans="3:4">
      <c r="C353" s="8"/>
      <c r="D353" s="8"/>
    </row>
    <row r="354" spans="3:4">
      <c r="C354" s="8"/>
      <c r="D354" s="8"/>
    </row>
    <row r="355" spans="3:4">
      <c r="C355" s="8"/>
      <c r="D355" s="8"/>
    </row>
    <row r="356" spans="3:4">
      <c r="C356" s="8"/>
      <c r="D356" s="8"/>
    </row>
    <row r="357" spans="3:4">
      <c r="C357" s="8"/>
      <c r="D357" s="8"/>
    </row>
    <row r="358" spans="3:4">
      <c r="C358" s="8"/>
      <c r="D358" s="8"/>
    </row>
    <row r="359" spans="3:4">
      <c r="C359" s="8"/>
      <c r="D359" s="8"/>
    </row>
    <row r="360" spans="3:4">
      <c r="C360" s="8"/>
      <c r="D360" s="8"/>
    </row>
    <row r="361" spans="3:4">
      <c r="C361" s="8"/>
      <c r="D361" s="8"/>
    </row>
    <row r="362" spans="3:4">
      <c r="C362" s="8"/>
      <c r="D362" s="8"/>
    </row>
    <row r="363" spans="3:4">
      <c r="C363" s="8"/>
      <c r="D363" s="8"/>
    </row>
    <row r="364" spans="3:4">
      <c r="C364" s="8"/>
      <c r="D364" s="8"/>
    </row>
    <row r="365" spans="3:4">
      <c r="C365" s="8"/>
      <c r="D365" s="8"/>
    </row>
    <row r="366" spans="3:4">
      <c r="C366" s="8"/>
      <c r="D366" s="8"/>
    </row>
    <row r="367" spans="3:4">
      <c r="C367" s="8"/>
      <c r="D367" s="8"/>
    </row>
    <row r="368" spans="3:4">
      <c r="C368" s="8"/>
      <c r="D368" s="8"/>
    </row>
    <row r="369" spans="3:4">
      <c r="C369" s="8"/>
      <c r="D369" s="8"/>
    </row>
    <row r="370" spans="3:4">
      <c r="C370" s="8"/>
      <c r="D370" s="8"/>
    </row>
    <row r="371" spans="3:4">
      <c r="C371" s="8"/>
      <c r="D371" s="8"/>
    </row>
    <row r="372" spans="3:4">
      <c r="C372" s="8"/>
      <c r="D372" s="8"/>
    </row>
    <row r="373" spans="3:4">
      <c r="C373" s="8"/>
      <c r="D373" s="8"/>
    </row>
    <row r="374" spans="3:4">
      <c r="C374" s="8"/>
      <c r="D374" s="8"/>
    </row>
    <row r="375" spans="3:4">
      <c r="C375" s="8"/>
      <c r="D375" s="8"/>
    </row>
    <row r="376" spans="3:4">
      <c r="C376" s="8"/>
      <c r="D376" s="8"/>
    </row>
    <row r="377" spans="3:4">
      <c r="C377" s="8"/>
      <c r="D377" s="8"/>
    </row>
    <row r="378" spans="3:4">
      <c r="C378" s="8"/>
      <c r="D378" s="8"/>
    </row>
    <row r="379" spans="3:4">
      <c r="C379" s="8"/>
      <c r="D379" s="8"/>
    </row>
    <row r="380" spans="3:4">
      <c r="C380" s="8"/>
      <c r="D380" s="8"/>
    </row>
    <row r="381" spans="3:4">
      <c r="C381" s="8"/>
      <c r="D381" s="8"/>
    </row>
    <row r="382" spans="3:4">
      <c r="C382" s="8"/>
      <c r="D382" s="8"/>
    </row>
    <row r="383" spans="3:4">
      <c r="C383" s="8"/>
      <c r="D383" s="8"/>
    </row>
    <row r="384" spans="3:4">
      <c r="C384" s="8"/>
      <c r="D384" s="8"/>
    </row>
    <row r="385" spans="3:4">
      <c r="C385" s="8"/>
      <c r="D385" s="8"/>
    </row>
    <row r="386" spans="3:4">
      <c r="C386" s="8"/>
      <c r="D386" s="8"/>
    </row>
    <row r="387" spans="3:4">
      <c r="C387" s="8"/>
      <c r="D387" s="8"/>
    </row>
    <row r="388" spans="3:4">
      <c r="C388" s="8"/>
      <c r="D388" s="8"/>
    </row>
    <row r="389" spans="3:4">
      <c r="C389" s="8"/>
      <c r="D389" s="8"/>
    </row>
    <row r="390" spans="3:4">
      <c r="C390" s="8"/>
      <c r="D390" s="8"/>
    </row>
    <row r="391" spans="3:4">
      <c r="C391" s="8"/>
      <c r="D391" s="8"/>
    </row>
    <row r="392" spans="3:4">
      <c r="C392" s="8"/>
      <c r="D392" s="8"/>
    </row>
    <row r="393" spans="3:4">
      <c r="C393" s="8"/>
      <c r="D393" s="8"/>
    </row>
    <row r="394" spans="3:4">
      <c r="C394" s="8"/>
      <c r="D394" s="8"/>
    </row>
    <row r="395" spans="3:4">
      <c r="C395" s="8"/>
      <c r="D395" s="8"/>
    </row>
    <row r="396" spans="3:4">
      <c r="C396" s="8"/>
      <c r="D396" s="8"/>
    </row>
    <row r="397" spans="3:4">
      <c r="C397" s="8"/>
      <c r="D397" s="8"/>
    </row>
    <row r="398" spans="3:4">
      <c r="C398" s="8"/>
      <c r="D398" s="8"/>
    </row>
    <row r="399" spans="3:4">
      <c r="C399" s="8"/>
      <c r="D399" s="8"/>
    </row>
    <row r="400" spans="3:4">
      <c r="C400" s="8"/>
      <c r="D400" s="8"/>
    </row>
    <row r="401" spans="3:4">
      <c r="C401" s="8"/>
      <c r="D401" s="8"/>
    </row>
    <row r="402" spans="3:4">
      <c r="C402" s="8"/>
      <c r="D402" s="8"/>
    </row>
    <row r="403" spans="3:4">
      <c r="C403" s="8"/>
      <c r="D403" s="8"/>
    </row>
    <row r="404" spans="3:4">
      <c r="C404" s="8"/>
      <c r="D404" s="8"/>
    </row>
    <row r="405" spans="3:4">
      <c r="C405" s="8"/>
      <c r="D405" s="8"/>
    </row>
    <row r="406" spans="3:4">
      <c r="C406" s="8"/>
      <c r="D406" s="8"/>
    </row>
    <row r="407" spans="3:4">
      <c r="C407" s="8"/>
      <c r="D407" s="8"/>
    </row>
    <row r="408" spans="3:4">
      <c r="C408" s="8"/>
      <c r="D408" s="8"/>
    </row>
    <row r="409" spans="3:4">
      <c r="C409" s="8"/>
      <c r="D409" s="8"/>
    </row>
    <row r="410" spans="3:4">
      <c r="C410" s="8"/>
      <c r="D410" s="8"/>
    </row>
    <row r="411" spans="3:4">
      <c r="C411" s="8"/>
      <c r="D411" s="8"/>
    </row>
    <row r="412" spans="3:4">
      <c r="C412" s="8"/>
      <c r="D412" s="8"/>
    </row>
    <row r="413" spans="3:4">
      <c r="C413" s="8"/>
      <c r="D413" s="8"/>
    </row>
    <row r="414" spans="3:4">
      <c r="C414" s="8"/>
      <c r="D414" s="8"/>
    </row>
    <row r="415" spans="3:4">
      <c r="C415" s="8"/>
      <c r="D415" s="8"/>
    </row>
    <row r="416" spans="3:4">
      <c r="C416" s="8"/>
      <c r="D416" s="8"/>
    </row>
    <row r="417" spans="3:4">
      <c r="C417" s="8"/>
      <c r="D417" s="8"/>
    </row>
    <row r="418" spans="3:4">
      <c r="C418" s="8"/>
      <c r="D418" s="8"/>
    </row>
    <row r="419" spans="3:4">
      <c r="C419" s="8"/>
      <c r="D419" s="8"/>
    </row>
    <row r="420" spans="3:4">
      <c r="C420" s="8"/>
      <c r="D420" s="8"/>
    </row>
    <row r="421" spans="3:4">
      <c r="C421" s="8"/>
      <c r="D421" s="8"/>
    </row>
    <row r="422" spans="3:4">
      <c r="C422" s="8"/>
      <c r="D422" s="8"/>
    </row>
    <row r="423" spans="3:4">
      <c r="C423" s="8"/>
      <c r="D423" s="8"/>
    </row>
    <row r="424" spans="3:4">
      <c r="C424" s="8"/>
      <c r="D424" s="8"/>
    </row>
    <row r="425" spans="3:4">
      <c r="C425" s="8"/>
      <c r="D425" s="8"/>
    </row>
    <row r="426" spans="3:4">
      <c r="C426" s="8"/>
      <c r="D426" s="8"/>
    </row>
    <row r="427" spans="3:4">
      <c r="C427" s="8"/>
      <c r="D427" s="8"/>
    </row>
    <row r="428" spans="3:4">
      <c r="C428" s="8"/>
      <c r="D428" s="8"/>
    </row>
    <row r="429" spans="3:4">
      <c r="C429" s="8"/>
      <c r="D429" s="8"/>
    </row>
    <row r="430" spans="3:4">
      <c r="C430" s="8"/>
      <c r="D430" s="8"/>
    </row>
    <row r="431" spans="3:4">
      <c r="C431" s="8"/>
      <c r="D431" s="8"/>
    </row>
    <row r="432" spans="3:4">
      <c r="C432" s="8"/>
      <c r="D432" s="8"/>
    </row>
    <row r="433" spans="3:4">
      <c r="C433" s="8"/>
      <c r="D433" s="8"/>
    </row>
    <row r="434" spans="3:4">
      <c r="C434" s="8"/>
      <c r="D434" s="8"/>
    </row>
    <row r="435" spans="3:4">
      <c r="C435" s="8"/>
      <c r="D435" s="8"/>
    </row>
    <row r="436" spans="3:4">
      <c r="C436" s="8"/>
      <c r="D436" s="8"/>
    </row>
    <row r="437" spans="3:4">
      <c r="C437" s="8"/>
      <c r="D437" s="8"/>
    </row>
    <row r="438" spans="3:4">
      <c r="C438" s="8"/>
      <c r="D438" s="8"/>
    </row>
    <row r="439" spans="3:4">
      <c r="C439" s="8"/>
      <c r="D439" s="8"/>
    </row>
    <row r="440" spans="3:4">
      <c r="C440" s="8"/>
      <c r="D440" s="8"/>
    </row>
    <row r="441" spans="3:4">
      <c r="C441" s="8"/>
      <c r="D441" s="8"/>
    </row>
    <row r="442" spans="3:4">
      <c r="C442" s="8"/>
      <c r="D442" s="8"/>
    </row>
    <row r="443" spans="3:4">
      <c r="C443" s="8"/>
      <c r="D443" s="8"/>
    </row>
    <row r="444" spans="3:4">
      <c r="C444" s="8"/>
      <c r="D444" s="8"/>
    </row>
    <row r="445" spans="3:4">
      <c r="C445" s="8"/>
      <c r="D445" s="8"/>
    </row>
    <row r="446" spans="3:4">
      <c r="C446" s="8"/>
      <c r="D446" s="8"/>
    </row>
    <row r="447" spans="3:4">
      <c r="C447" s="8"/>
      <c r="D447" s="8"/>
    </row>
    <row r="448" spans="3:4">
      <c r="C448" s="8"/>
      <c r="D448" s="8"/>
    </row>
    <row r="449" spans="3:4">
      <c r="C449" s="8"/>
      <c r="D449" s="8"/>
    </row>
    <row r="450" spans="3:4">
      <c r="C450" s="8"/>
      <c r="D450" s="8"/>
    </row>
    <row r="451" spans="3:4">
      <c r="C451" s="8"/>
      <c r="D451" s="8"/>
    </row>
    <row r="452" spans="3:4">
      <c r="C452" s="8"/>
      <c r="D452" s="8"/>
    </row>
    <row r="453" spans="3:4">
      <c r="C453" s="8"/>
      <c r="D453" s="8"/>
    </row>
    <row r="454" spans="3:4">
      <c r="C454" s="8"/>
      <c r="D454" s="8"/>
    </row>
    <row r="455" spans="3:4">
      <c r="C455" s="8"/>
      <c r="D455" s="8"/>
    </row>
    <row r="456" spans="3:4">
      <c r="C456" s="8"/>
      <c r="D456" s="8"/>
    </row>
    <row r="457" spans="3:4">
      <c r="C457" s="8"/>
      <c r="D457" s="8"/>
    </row>
    <row r="458" spans="3:4">
      <c r="C458" s="8"/>
      <c r="D458" s="8"/>
    </row>
    <row r="459" spans="3:4">
      <c r="C459" s="8"/>
      <c r="D459" s="8"/>
    </row>
    <row r="460" spans="3:4">
      <c r="C460" s="8"/>
      <c r="D460" s="8"/>
    </row>
    <row r="461" spans="3:4">
      <c r="C461" s="8"/>
      <c r="D461" s="8"/>
    </row>
    <row r="462" spans="3:4">
      <c r="C462" s="8"/>
      <c r="D462" s="8"/>
    </row>
    <row r="463" spans="3:4">
      <c r="C463" s="8"/>
      <c r="D463" s="8"/>
    </row>
    <row r="464" spans="3:4">
      <c r="C464" s="8"/>
      <c r="D464" s="8"/>
    </row>
    <row r="465" spans="3:4">
      <c r="C465" s="8"/>
      <c r="D465" s="8"/>
    </row>
    <row r="466" spans="3:4">
      <c r="C466" s="8"/>
      <c r="D466" s="8"/>
    </row>
    <row r="467" spans="3:4">
      <c r="C467" s="8"/>
      <c r="D467" s="8"/>
    </row>
    <row r="468" spans="3:4">
      <c r="C468" s="8"/>
      <c r="D468" s="8"/>
    </row>
    <row r="469" spans="3:4">
      <c r="C469" s="8"/>
      <c r="D469" s="8"/>
    </row>
    <row r="470" spans="3:4">
      <c r="C470" s="8"/>
      <c r="D470" s="8"/>
    </row>
    <row r="471" spans="3:4">
      <c r="C471" s="8"/>
      <c r="D471" s="8"/>
    </row>
    <row r="472" spans="3:4">
      <c r="C472" s="8"/>
      <c r="D472" s="8"/>
    </row>
    <row r="473" spans="3:4">
      <c r="C473" s="8"/>
      <c r="D473" s="8"/>
    </row>
    <row r="474" spans="3:4">
      <c r="C474" s="8"/>
      <c r="D474" s="8"/>
    </row>
    <row r="475" spans="3:4">
      <c r="C475" s="8"/>
      <c r="D475" s="8"/>
    </row>
    <row r="476" spans="3:4">
      <c r="C476" s="8"/>
      <c r="D476" s="8"/>
    </row>
    <row r="477" spans="3:4">
      <c r="C477" s="8"/>
      <c r="D477" s="8"/>
    </row>
    <row r="478" spans="3:4">
      <c r="C478" s="8"/>
      <c r="D478" s="8"/>
    </row>
    <row r="479" spans="3:4">
      <c r="C479" s="8"/>
      <c r="D479" s="8"/>
    </row>
    <row r="480" spans="3:4">
      <c r="C480" s="8"/>
      <c r="D480" s="8"/>
    </row>
    <row r="481" spans="3:4">
      <c r="C481" s="8"/>
      <c r="D481" s="8"/>
    </row>
    <row r="482" spans="3:4">
      <c r="C482" s="8"/>
      <c r="D482" s="8"/>
    </row>
    <row r="483" spans="3:4">
      <c r="C483" s="8"/>
      <c r="D483" s="8"/>
    </row>
    <row r="484" spans="3:4">
      <c r="C484" s="8"/>
      <c r="D484" s="8"/>
    </row>
    <row r="485" spans="3:4">
      <c r="C485" s="8"/>
      <c r="D485" s="8"/>
    </row>
    <row r="486" spans="3:4">
      <c r="C486" s="8"/>
      <c r="D486" s="8"/>
    </row>
    <row r="487" spans="3:4">
      <c r="C487" s="8"/>
      <c r="D487" s="8"/>
    </row>
    <row r="488" spans="3:4">
      <c r="C488" s="8"/>
      <c r="D488" s="8"/>
    </row>
    <row r="489" spans="3:4">
      <c r="C489" s="8"/>
      <c r="D489" s="8"/>
    </row>
    <row r="490" spans="3:4">
      <c r="C490" s="8"/>
      <c r="D490" s="8"/>
    </row>
    <row r="491" spans="3:4">
      <c r="C491" s="8"/>
      <c r="D491" s="8"/>
    </row>
    <row r="492" spans="3:4">
      <c r="C492" s="8"/>
      <c r="D492" s="8"/>
    </row>
    <row r="493" spans="3:4">
      <c r="C493" s="8"/>
      <c r="D493" s="8"/>
    </row>
    <row r="494" spans="3:4">
      <c r="C494" s="8"/>
      <c r="D494" s="8"/>
    </row>
    <row r="495" spans="3:4">
      <c r="C495" s="8"/>
      <c r="D495" s="8"/>
    </row>
    <row r="496" spans="3:4">
      <c r="C496" s="8"/>
      <c r="D496" s="8"/>
    </row>
    <row r="497" spans="3:4">
      <c r="C497" s="8"/>
      <c r="D497" s="8"/>
    </row>
    <row r="498" spans="3:4">
      <c r="C498" s="8"/>
      <c r="D498" s="8"/>
    </row>
    <row r="499" spans="3:4">
      <c r="C499" s="8"/>
      <c r="D499" s="8"/>
    </row>
    <row r="500" spans="3:4">
      <c r="C500" s="8"/>
      <c r="D500" s="8"/>
    </row>
    <row r="501" spans="3:4">
      <c r="C501" s="8"/>
      <c r="D501" s="8"/>
    </row>
    <row r="502" spans="3:4">
      <c r="C502" s="8"/>
      <c r="D502" s="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Sheet5.part4">
                <anchor moveWithCells="1">
                  <from>
                    <xdr:col>0</xdr:col>
                    <xdr:colOff>1876425</xdr:colOff>
                    <xdr:row>7</xdr:row>
                    <xdr:rowOff>85725</xdr:rowOff>
                  </from>
                  <to>
                    <xdr:col>0</xdr:col>
                    <xdr:colOff>3571875</xdr:colOff>
                    <xdr:row>9</xdr:row>
                    <xdr:rowOff>142875</xdr:rowOff>
                  </to>
                </anchor>
              </controlPr>
            </control>
          </mc:Choice>
        </mc:AlternateContent>
        <mc:AlternateContent xmlns:mc="http://schemas.openxmlformats.org/markup-compatibility/2006">
          <mc:Choice Requires="x14">
            <control shapeId="6147" r:id="rId4" name="Button 3">
              <controlPr defaultSize="0" print="0" autoFill="0" autoPict="0" macro="[0]!Sheet5.Reset">
                <anchor moveWithCells="1" sizeWithCells="1">
                  <from>
                    <xdr:col>0</xdr:col>
                    <xdr:colOff>2209800</xdr:colOff>
                    <xdr:row>13</xdr:row>
                    <xdr:rowOff>0</xdr:rowOff>
                  </from>
                  <to>
                    <xdr:col>0</xdr:col>
                    <xdr:colOff>3352800</xdr:colOff>
                    <xdr:row>15</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D7F8F-316E-8B47-9226-719C10BD4D63}">
  <sheetPr codeName="Sheet6"/>
  <dimension ref="C3:AC30"/>
  <sheetViews>
    <sheetView workbookViewId="0">
      <selection activeCell="D10" sqref="D10"/>
    </sheetView>
  </sheetViews>
  <sheetFormatPr defaultColWidth="11" defaultRowHeight="15.75"/>
  <cols>
    <col min="3" max="3" width="18.125" style="64" bestFit="1" customWidth="1"/>
    <col min="4" max="4" width="26.875" style="64" bestFit="1" customWidth="1"/>
    <col min="5" max="5" width="22" customWidth="1"/>
    <col min="6" max="6" width="45.625" customWidth="1"/>
    <col min="29" max="29" width="22" customWidth="1"/>
  </cols>
  <sheetData>
    <row r="3" spans="3:8">
      <c r="C3" s="64" t="s">
        <v>490</v>
      </c>
      <c r="D3" s="64" t="s">
        <v>480</v>
      </c>
    </row>
    <row r="5" spans="3:8">
      <c r="C5" s="64" t="s">
        <v>492</v>
      </c>
      <c r="D5" s="64" t="s">
        <v>481</v>
      </c>
      <c r="G5" s="30"/>
      <c r="H5" s="30"/>
    </row>
    <row r="6" spans="3:8">
      <c r="C6" s="64" t="s">
        <v>493</v>
      </c>
      <c r="D6" s="64" t="s">
        <v>482</v>
      </c>
    </row>
    <row r="7" spans="3:8">
      <c r="C7" s="64" t="s">
        <v>494</v>
      </c>
      <c r="D7" s="64" t="s">
        <v>483</v>
      </c>
    </row>
    <row r="10" spans="3:8" ht="157.5">
      <c r="C10" s="64" t="s">
        <v>473</v>
      </c>
      <c r="D10" s="64" t="s">
        <v>532</v>
      </c>
    </row>
    <row r="23" spans="27:29">
      <c r="AA23" t="s">
        <v>490</v>
      </c>
      <c r="AB23" t="s">
        <v>491</v>
      </c>
      <c r="AC23" t="b">
        <v>1</v>
      </c>
    </row>
    <row r="25" spans="27:29">
      <c r="AA25" t="s">
        <v>492</v>
      </c>
      <c r="AB25" t="s">
        <v>495</v>
      </c>
    </row>
    <row r="26" spans="27:29">
      <c r="AA26" t="s">
        <v>493</v>
      </c>
      <c r="AB26" t="s">
        <v>495</v>
      </c>
    </row>
    <row r="27" spans="27:29">
      <c r="AA27" t="s">
        <v>494</v>
      </c>
      <c r="AB27" t="s">
        <v>495</v>
      </c>
    </row>
    <row r="30" spans="27:29">
      <c r="AA30" t="s">
        <v>473</v>
      </c>
      <c r="AB30" t="s">
        <v>495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713AD-5A35-584C-AC03-00F84380DDDF}">
  <sheetPr codeName="Sheet7"/>
  <dimension ref="C3:AC30"/>
  <sheetViews>
    <sheetView workbookViewId="0">
      <selection activeCell="D10" sqref="D10"/>
    </sheetView>
  </sheetViews>
  <sheetFormatPr defaultColWidth="11" defaultRowHeight="15.75"/>
  <cols>
    <col min="3" max="3" width="18.125" style="64" bestFit="1" customWidth="1"/>
    <col min="4" max="4" width="46.875" style="64" bestFit="1" customWidth="1"/>
    <col min="5" max="5" width="22" customWidth="1"/>
    <col min="6" max="6" width="45.625" customWidth="1"/>
    <col min="29" max="29" width="22" customWidth="1"/>
  </cols>
  <sheetData>
    <row r="3" spans="3:8">
      <c r="C3" s="64" t="s">
        <v>490</v>
      </c>
      <c r="D3" s="64" t="s">
        <v>484</v>
      </c>
    </row>
    <row r="5" spans="3:8">
      <c r="C5" s="64" t="s">
        <v>492</v>
      </c>
      <c r="D5" s="64" t="s">
        <v>485</v>
      </c>
      <c r="E5" s="30"/>
      <c r="F5" s="30"/>
      <c r="G5" s="30"/>
      <c r="H5" s="30"/>
    </row>
    <row r="6" spans="3:8">
      <c r="C6" s="64" t="s">
        <v>493</v>
      </c>
      <c r="D6" s="64" t="s">
        <v>482</v>
      </c>
    </row>
    <row r="7" spans="3:8">
      <c r="C7" s="64" t="s">
        <v>494</v>
      </c>
      <c r="D7" s="64" t="s">
        <v>483</v>
      </c>
    </row>
    <row r="10" spans="3:8" ht="126">
      <c r="C10" s="64" t="s">
        <v>473</v>
      </c>
      <c r="D10" s="64" t="s">
        <v>532</v>
      </c>
    </row>
    <row r="23" spans="27:29">
      <c r="AA23" s="42" t="s">
        <v>490</v>
      </c>
      <c r="AB23" t="s">
        <v>491</v>
      </c>
      <c r="AC23" t="b">
        <v>1</v>
      </c>
    </row>
    <row r="25" spans="27:29">
      <c r="AA25" s="30" t="s">
        <v>492</v>
      </c>
      <c r="AB25" s="43" t="s">
        <v>495</v>
      </c>
    </row>
    <row r="26" spans="27:29" ht="33.75">
      <c r="AA26" s="45" t="s">
        <v>493</v>
      </c>
      <c r="AB26" s="41" t="s">
        <v>495</v>
      </c>
    </row>
    <row r="27" spans="27:29">
      <c r="AA27" t="s">
        <v>494</v>
      </c>
      <c r="AB27" t="s">
        <v>495</v>
      </c>
    </row>
    <row r="30" spans="27:29">
      <c r="AA30" s="43" t="s">
        <v>473</v>
      </c>
      <c r="AB30" s="46" t="s">
        <v>495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E0A0-86D1-F849-96C5-63D1C5866524}">
  <sheetPr codeName="Sheet8"/>
  <dimension ref="C3:AC30"/>
  <sheetViews>
    <sheetView workbookViewId="0">
      <selection activeCell="A8" sqref="A8"/>
    </sheetView>
  </sheetViews>
  <sheetFormatPr defaultColWidth="11" defaultRowHeight="15.75"/>
  <cols>
    <col min="3" max="3" width="18.125" style="64" bestFit="1" customWidth="1"/>
    <col min="4" max="4" width="28" style="64" bestFit="1" customWidth="1"/>
    <col min="5" max="5" width="22" customWidth="1"/>
    <col min="6" max="6" width="45.625" customWidth="1"/>
    <col min="29" max="29" width="22" customWidth="1"/>
  </cols>
  <sheetData>
    <row r="3" spans="3:8">
      <c r="C3" s="64" t="s">
        <v>490</v>
      </c>
      <c r="D3" s="64" t="s">
        <v>486</v>
      </c>
    </row>
    <row r="5" spans="3:8">
      <c r="C5" s="64" t="s">
        <v>492</v>
      </c>
      <c r="D5" s="64" t="s">
        <v>487</v>
      </c>
      <c r="E5" s="30"/>
      <c r="F5" s="30"/>
      <c r="G5" s="30"/>
      <c r="H5" s="30"/>
    </row>
    <row r="6" spans="3:8">
      <c r="C6" s="64" t="s">
        <v>493</v>
      </c>
      <c r="D6" s="64" t="s">
        <v>482</v>
      </c>
    </row>
    <row r="7" spans="3:8">
      <c r="C7" s="64" t="s">
        <v>494</v>
      </c>
      <c r="D7" s="64" t="s">
        <v>483</v>
      </c>
    </row>
    <row r="10" spans="3:8" ht="157.5">
      <c r="C10" s="64" t="s">
        <v>473</v>
      </c>
      <c r="D10" s="64" t="s">
        <v>532</v>
      </c>
    </row>
    <row r="23" spans="27:29">
      <c r="AA23" s="42" t="s">
        <v>490</v>
      </c>
      <c r="AB23" t="s">
        <v>491</v>
      </c>
      <c r="AC23" t="b">
        <v>1</v>
      </c>
    </row>
    <row r="25" spans="27:29">
      <c r="AA25" s="30" t="s">
        <v>492</v>
      </c>
      <c r="AB25" s="43" t="s">
        <v>495</v>
      </c>
    </row>
    <row r="26" spans="27:29" ht="33.75">
      <c r="AA26" s="47" t="s">
        <v>493</v>
      </c>
      <c r="AB26" s="47" t="s">
        <v>495</v>
      </c>
    </row>
    <row r="27" spans="27:29">
      <c r="AA27" t="s">
        <v>494</v>
      </c>
      <c r="AB27" t="s">
        <v>495</v>
      </c>
    </row>
    <row r="30" spans="27:29" ht="46.5">
      <c r="AA30" s="48" t="s">
        <v>473</v>
      </c>
      <c r="AB30" s="42" t="s">
        <v>495</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DCDC7-A3AD-CA4B-AF4B-C281232D9575}">
  <sheetPr codeName="Sheet9"/>
  <dimension ref="C3:AC30"/>
  <sheetViews>
    <sheetView tabSelected="1" workbookViewId="0">
      <selection activeCell="A8" sqref="A8"/>
    </sheetView>
  </sheetViews>
  <sheetFormatPr defaultColWidth="11" defaultRowHeight="15.75"/>
  <cols>
    <col min="3" max="3" width="16.75" style="64" bestFit="1" customWidth="1"/>
    <col min="4" max="4" width="26.875" style="64" bestFit="1" customWidth="1"/>
    <col min="5" max="5" width="22" customWidth="1"/>
    <col min="6" max="6" width="45.625" customWidth="1"/>
    <col min="29" max="29" width="22" customWidth="1"/>
  </cols>
  <sheetData>
    <row r="3" spans="3:8">
      <c r="C3" s="64" t="s">
        <v>490</v>
      </c>
      <c r="D3" s="64" t="s">
        <v>488</v>
      </c>
    </row>
    <row r="5" spans="3:8" ht="31.5">
      <c r="C5" s="64" t="s">
        <v>492</v>
      </c>
      <c r="D5" s="64" t="s">
        <v>489</v>
      </c>
      <c r="E5" s="30"/>
      <c r="F5" s="30"/>
      <c r="G5" s="30"/>
      <c r="H5" s="30"/>
    </row>
    <row r="6" spans="3:8">
      <c r="C6" s="64" t="s">
        <v>493</v>
      </c>
      <c r="D6" s="64" t="s">
        <v>482</v>
      </c>
    </row>
    <row r="7" spans="3:8">
      <c r="C7" s="64" t="s">
        <v>494</v>
      </c>
      <c r="D7" s="64" t="s">
        <v>483</v>
      </c>
    </row>
    <row r="10" spans="3:8" ht="157.5">
      <c r="C10" s="64" t="s">
        <v>473</v>
      </c>
      <c r="D10" s="64" t="s">
        <v>532</v>
      </c>
    </row>
    <row r="23" spans="27:29">
      <c r="AA23" s="42" t="s">
        <v>490</v>
      </c>
      <c r="AB23" t="s">
        <v>491</v>
      </c>
      <c r="AC23" t="b">
        <v>1</v>
      </c>
    </row>
    <row r="25" spans="27:29" ht="39">
      <c r="AA25" s="49" t="s">
        <v>492</v>
      </c>
      <c r="AB25" s="50" t="s">
        <v>495</v>
      </c>
    </row>
    <row r="26" spans="27:29">
      <c r="AA26" s="43" t="s">
        <v>493</v>
      </c>
      <c r="AB26" s="43" t="s">
        <v>495</v>
      </c>
    </row>
    <row r="27" spans="27:29">
      <c r="AA27" t="s">
        <v>494</v>
      </c>
      <c r="AB27" t="s">
        <v>495</v>
      </c>
    </row>
    <row r="30" spans="27:29" ht="46.5">
      <c r="AA30" s="44" t="s">
        <v>473</v>
      </c>
      <c r="AB30" s="42" t="s">
        <v>495</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A9383-9445-1746-A386-E29EEF533B8E}">
  <sheetPr codeName="Sheet10"/>
  <dimension ref="B1:BA100"/>
  <sheetViews>
    <sheetView topLeftCell="A31" zoomScaleNormal="100" workbookViewId="0">
      <selection activeCell="F39" sqref="F39"/>
    </sheetView>
  </sheetViews>
  <sheetFormatPr defaultColWidth="11" defaultRowHeight="15.75"/>
  <cols>
    <col min="2" max="2" width="28.5" customWidth="1"/>
    <col min="3" max="3" width="13.5" customWidth="1"/>
    <col min="5" max="5" width="11" customWidth="1"/>
    <col min="12" max="12" width="14.75" customWidth="1"/>
    <col min="13" max="13" width="11.75" customWidth="1"/>
    <col min="14" max="14" width="14.75" customWidth="1"/>
    <col min="16" max="16" width="14.75" customWidth="1"/>
    <col min="28" max="28" width="28.5" customWidth="1"/>
    <col min="29" max="29" width="13.5" bestFit="1" customWidth="1"/>
    <col min="38" max="38" width="14.75" customWidth="1"/>
    <col min="39" max="39" width="11.75" customWidth="1"/>
    <col min="40" max="40" width="14.75" customWidth="1"/>
    <col min="42" max="42" width="14.75" customWidth="1"/>
  </cols>
  <sheetData>
    <row r="1" spans="2:53" ht="15.75" customHeight="1">
      <c r="BA1" t="b">
        <v>1</v>
      </c>
    </row>
    <row r="2" spans="2:53" ht="15.75" customHeight="1">
      <c r="B2" s="9" t="s">
        <v>497</v>
      </c>
      <c r="AB2" s="9" t="s">
        <v>497</v>
      </c>
    </row>
    <row r="3" spans="2:53" ht="15.75" customHeight="1"/>
    <row r="4" spans="2:53" ht="15.75" customHeight="1">
      <c r="B4" t="s">
        <v>521</v>
      </c>
      <c r="C4" s="27">
        <v>200</v>
      </c>
      <c r="AB4" t="s">
        <v>521</v>
      </c>
      <c r="AC4" s="27">
        <v>200</v>
      </c>
    </row>
    <row r="5" spans="2:53" ht="15.75" customHeight="1">
      <c r="B5" t="s">
        <v>526</v>
      </c>
      <c r="C5" s="27">
        <v>7500</v>
      </c>
      <c r="AB5" t="s">
        <v>526</v>
      </c>
      <c r="AC5" s="27">
        <v>7500</v>
      </c>
    </row>
    <row r="6" spans="2:53" ht="15.75" customHeight="1">
      <c r="B6" t="s">
        <v>527</v>
      </c>
      <c r="C6" s="27">
        <v>15550</v>
      </c>
      <c r="AB6" t="s">
        <v>527</v>
      </c>
      <c r="AC6" s="27">
        <v>15550</v>
      </c>
    </row>
    <row r="7" spans="2:53" ht="15.75" customHeight="1">
      <c r="B7" t="s">
        <v>522</v>
      </c>
      <c r="C7" s="10">
        <v>0.03</v>
      </c>
      <c r="AB7" t="s">
        <v>522</v>
      </c>
      <c r="AC7" s="10">
        <v>0.03</v>
      </c>
    </row>
    <row r="8" spans="2:53" ht="15.75" customHeight="1">
      <c r="B8" t="s">
        <v>520</v>
      </c>
      <c r="C8" s="10">
        <v>0.02</v>
      </c>
      <c r="AB8" t="s">
        <v>520</v>
      </c>
      <c r="AC8" s="10">
        <v>0.02</v>
      </c>
    </row>
    <row r="9" spans="2:53" ht="15.75" customHeight="1">
      <c r="B9" t="s">
        <v>525</v>
      </c>
      <c r="C9" s="10">
        <v>1.7000000000000001E-2</v>
      </c>
      <c r="AB9" t="s">
        <v>525</v>
      </c>
      <c r="AC9" s="10">
        <v>1.6849616765975954E-2</v>
      </c>
    </row>
    <row r="10" spans="2:53" ht="15.75" customHeight="1">
      <c r="B10" t="s">
        <v>498</v>
      </c>
      <c r="C10" s="10">
        <v>0.05</v>
      </c>
      <c r="AB10" t="s">
        <v>498</v>
      </c>
      <c r="AC10" s="10">
        <v>0.05</v>
      </c>
    </row>
    <row r="11" spans="2:53" ht="15.75" customHeight="1">
      <c r="C11" s="11"/>
      <c r="AC11" s="11"/>
    </row>
    <row r="12" spans="2:53" ht="15.75" customHeight="1">
      <c r="C12" s="1" t="s">
        <v>1</v>
      </c>
      <c r="AC12" s="1" t="s">
        <v>1</v>
      </c>
    </row>
    <row r="13" spans="2:53" ht="15.75" customHeight="1">
      <c r="B13" s="9" t="s">
        <v>499</v>
      </c>
      <c r="C13" s="12">
        <v>2022</v>
      </c>
      <c r="D13" s="12">
        <v>2023</v>
      </c>
      <c r="E13" s="12">
        <v>2024</v>
      </c>
      <c r="F13" s="12">
        <v>2025</v>
      </c>
      <c r="G13" s="12">
        <v>2026</v>
      </c>
      <c r="H13" s="12">
        <v>2027</v>
      </c>
      <c r="I13" s="12">
        <v>2028</v>
      </c>
      <c r="J13" s="12">
        <v>2029</v>
      </c>
      <c r="K13" s="12">
        <v>2030</v>
      </c>
      <c r="AB13" s="9" t="s">
        <v>499</v>
      </c>
      <c r="AC13" s="12">
        <v>2022</v>
      </c>
      <c r="AD13" s="12">
        <v>2023</v>
      </c>
      <c r="AE13" s="12">
        <v>2024</v>
      </c>
      <c r="AF13" s="12">
        <v>2025</v>
      </c>
      <c r="AG13" s="12">
        <v>2026</v>
      </c>
      <c r="AH13" s="12">
        <v>2027</v>
      </c>
      <c r="AI13" s="12">
        <v>2028</v>
      </c>
      <c r="AJ13" s="12">
        <v>2029</v>
      </c>
      <c r="AK13" s="12">
        <v>2030</v>
      </c>
    </row>
    <row r="14" spans="2:53" ht="15.75" customHeight="1">
      <c r="B14" s="13" t="s">
        <v>500</v>
      </c>
      <c r="AB14" s="13" t="s">
        <v>500</v>
      </c>
    </row>
    <row r="15" spans="2:53" ht="15.75" customHeight="1">
      <c r="B15" s="13"/>
      <c r="AB15" s="13"/>
    </row>
    <row r="16" spans="2:53" ht="15.75" customHeight="1">
      <c r="B16" s="14" t="s">
        <v>501</v>
      </c>
      <c r="AB16" s="14" t="s">
        <v>501</v>
      </c>
    </row>
    <row r="17" spans="2:37" ht="15.75" customHeight="1">
      <c r="B17" t="s">
        <v>519</v>
      </c>
      <c r="C17" s="15">
        <v>-26.357187271118164</v>
      </c>
      <c r="D17" s="15">
        <f>C17*(1+$C$7)</f>
        <v>-27.147902889251711</v>
      </c>
      <c r="E17" s="15">
        <f t="shared" ref="E17" si="0">D17*(1+$C$7)</f>
        <v>-27.962339975929261</v>
      </c>
      <c r="F17" s="15">
        <f t="shared" ref="F17" si="1">E17*(1+$C$7)</f>
        <v>-28.801210175207139</v>
      </c>
      <c r="G17" s="15">
        <v>0</v>
      </c>
      <c r="H17" s="15">
        <v>0</v>
      </c>
      <c r="I17" s="15">
        <v>0</v>
      </c>
      <c r="J17" s="15">
        <v>0</v>
      </c>
      <c r="K17" s="15">
        <v>0</v>
      </c>
      <c r="AB17" t="s">
        <v>519</v>
      </c>
      <c r="AC17" s="15">
        <v>-26.357187271118164</v>
      </c>
      <c r="AD17" s="15">
        <f>AC17*(1+$C$7)</f>
        <v>-27.147902889251711</v>
      </c>
      <c r="AE17" s="15">
        <f t="shared" ref="AE17" si="2">AD17*(1+$C$7)</f>
        <v>-27.962339975929261</v>
      </c>
      <c r="AF17" s="15">
        <f t="shared" ref="AF17" si="3">AE17*(1+$C$7)</f>
        <v>-28.801210175207139</v>
      </c>
      <c r="AG17" s="15">
        <v>0</v>
      </c>
      <c r="AH17" s="15">
        <v>0</v>
      </c>
      <c r="AI17" s="15">
        <v>0</v>
      </c>
      <c r="AJ17" s="15">
        <v>0</v>
      </c>
      <c r="AK17" s="15">
        <v>0</v>
      </c>
    </row>
    <row r="18" spans="2:37" ht="15.75" customHeight="1">
      <c r="B18" t="s">
        <v>517</v>
      </c>
      <c r="C18" s="15">
        <v>-8</v>
      </c>
      <c r="D18" s="15">
        <f>C18*(1+$C$8)</f>
        <v>-8.16</v>
      </c>
      <c r="E18" s="15">
        <f t="shared" ref="E18" si="4">D18*(1+$C$8)</f>
        <v>-8.3231999999999999</v>
      </c>
      <c r="F18" s="15">
        <f t="shared" ref="F18" si="5">E18*(1+$C$8)</f>
        <v>-8.4896639999999994</v>
      </c>
      <c r="G18" s="15">
        <f t="shared" ref="G18" si="6">F18*(1+$C$8)</f>
        <v>-8.6594572799999998</v>
      </c>
      <c r="H18" s="15">
        <f t="shared" ref="H18" si="7">G18*(1+$C$8)</f>
        <v>-8.8326464256000001</v>
      </c>
      <c r="I18" s="15">
        <f t="shared" ref="I18" si="8">H18*(1+$C$8)</f>
        <v>-9.0092993541120006</v>
      </c>
      <c r="J18" s="15">
        <f t="shared" ref="J18" si="9">I18*(1+$C$8)</f>
        <v>-9.1894853411942403</v>
      </c>
      <c r="K18" s="15">
        <f t="shared" ref="K18" si="10">J18*(1+$C$8)</f>
        <v>-9.3732750480181259</v>
      </c>
      <c r="AB18" t="s">
        <v>517</v>
      </c>
      <c r="AC18" s="15">
        <v>-8</v>
      </c>
      <c r="AD18" s="15">
        <f>AC18*(1+$C$8)</f>
        <v>-8.16</v>
      </c>
      <c r="AE18" s="15">
        <f t="shared" ref="AE18" si="11">AD18*(1+$C$8)</f>
        <v>-8.3231999999999999</v>
      </c>
      <c r="AF18" s="15">
        <f t="shared" ref="AF18" si="12">AE18*(1+$C$8)</f>
        <v>-8.4896639999999994</v>
      </c>
      <c r="AG18" s="15">
        <f t="shared" ref="AG18" si="13">AF18*(1+$C$8)</f>
        <v>-8.6594572799999998</v>
      </c>
      <c r="AH18" s="15">
        <f t="shared" ref="AH18" si="14">AG18*(1+$C$8)</f>
        <v>-8.8326464256000001</v>
      </c>
      <c r="AI18" s="15">
        <f t="shared" ref="AI18" si="15">AH18*(1+$C$8)</f>
        <v>-9.0092993541120006</v>
      </c>
      <c r="AJ18" s="15">
        <f t="shared" ref="AJ18" si="16">AI18*(1+$C$8)</f>
        <v>-9.1894853411942403</v>
      </c>
      <c r="AK18" s="15">
        <f t="shared" ref="AK18" si="17">AJ18*(1+$C$8)</f>
        <v>-9.3732750480181259</v>
      </c>
    </row>
    <row r="19" spans="2:37" ht="15.75" customHeight="1">
      <c r="B19" t="s">
        <v>518</v>
      </c>
      <c r="C19" s="15">
        <f>-1.1*(1+$C$8)</f>
        <v>-1.1220000000000001</v>
      </c>
      <c r="D19" s="15">
        <f t="shared" ref="D19:K19" si="18">-1.1*(1+$C$8)</f>
        <v>-1.1220000000000001</v>
      </c>
      <c r="E19" s="15">
        <f t="shared" si="18"/>
        <v>-1.1220000000000001</v>
      </c>
      <c r="F19" s="15">
        <f t="shared" si="18"/>
        <v>-1.1220000000000001</v>
      </c>
      <c r="G19" s="15">
        <f t="shared" si="18"/>
        <v>-1.1220000000000001</v>
      </c>
      <c r="H19" s="15">
        <f t="shared" si="18"/>
        <v>-1.1220000000000001</v>
      </c>
      <c r="I19" s="15">
        <f t="shared" si="18"/>
        <v>-1.1220000000000001</v>
      </c>
      <c r="J19" s="15">
        <f t="shared" si="18"/>
        <v>-1.1220000000000001</v>
      </c>
      <c r="K19" s="15">
        <f t="shared" si="18"/>
        <v>-1.1220000000000001</v>
      </c>
      <c r="AB19" t="s">
        <v>518</v>
      </c>
      <c r="AC19" s="15">
        <f>-1.1*(1+$C$8)</f>
        <v>-1.1220000000000001</v>
      </c>
      <c r="AD19" s="15">
        <f t="shared" ref="AD19:AK19" si="19">-1.1*(1+$C$8)</f>
        <v>-1.1220000000000001</v>
      </c>
      <c r="AE19" s="15">
        <f t="shared" si="19"/>
        <v>-1.1220000000000001</v>
      </c>
      <c r="AF19" s="15">
        <f t="shared" si="19"/>
        <v>-1.1220000000000001</v>
      </c>
      <c r="AG19" s="15">
        <f t="shared" si="19"/>
        <v>-1.1220000000000001</v>
      </c>
      <c r="AH19" s="15">
        <f t="shared" si="19"/>
        <v>-1.1220000000000001</v>
      </c>
      <c r="AI19" s="15">
        <f t="shared" si="19"/>
        <v>-1.1220000000000001</v>
      </c>
      <c r="AJ19" s="15">
        <f t="shared" si="19"/>
        <v>-1.1220000000000001</v>
      </c>
      <c r="AK19" s="15">
        <f t="shared" si="19"/>
        <v>-1.1220000000000001</v>
      </c>
    </row>
    <row r="20" spans="2:37" ht="15.75" customHeight="1">
      <c r="B20" t="s">
        <v>515</v>
      </c>
      <c r="C20" s="15">
        <f>-0.7*(1+$C$8)</f>
        <v>-0.71399999999999997</v>
      </c>
      <c r="D20" s="15">
        <f t="shared" ref="D20:K20" si="20">-0.7*(1+$C$8)</f>
        <v>-0.71399999999999997</v>
      </c>
      <c r="E20" s="15">
        <f t="shared" si="20"/>
        <v>-0.71399999999999997</v>
      </c>
      <c r="F20" s="15">
        <f t="shared" si="20"/>
        <v>-0.71399999999999997</v>
      </c>
      <c r="G20" s="15">
        <f t="shared" si="20"/>
        <v>-0.71399999999999997</v>
      </c>
      <c r="H20" s="15">
        <f t="shared" si="20"/>
        <v>-0.71399999999999997</v>
      </c>
      <c r="I20" s="15">
        <f t="shared" si="20"/>
        <v>-0.71399999999999997</v>
      </c>
      <c r="J20" s="15">
        <f t="shared" si="20"/>
        <v>-0.71399999999999997</v>
      </c>
      <c r="K20" s="15">
        <f t="shared" si="20"/>
        <v>-0.71399999999999997</v>
      </c>
      <c r="AB20" t="s">
        <v>515</v>
      </c>
      <c r="AC20" s="15">
        <f>-0.7*(1+$C$8)</f>
        <v>-0.71399999999999997</v>
      </c>
      <c r="AD20" s="15">
        <f t="shared" ref="AD20:AK20" si="21">-0.7*(1+$C$8)</f>
        <v>-0.71399999999999997</v>
      </c>
      <c r="AE20" s="15">
        <f t="shared" si="21"/>
        <v>-0.71399999999999997</v>
      </c>
      <c r="AF20" s="15">
        <f t="shared" si="21"/>
        <v>-0.71399999999999997</v>
      </c>
      <c r="AG20" s="15">
        <f t="shared" si="21"/>
        <v>-0.71399999999999997</v>
      </c>
      <c r="AH20" s="15">
        <f t="shared" si="21"/>
        <v>-0.71399999999999997</v>
      </c>
      <c r="AI20" s="15">
        <f t="shared" si="21"/>
        <v>-0.71399999999999997</v>
      </c>
      <c r="AJ20" s="15">
        <f t="shared" si="21"/>
        <v>-0.71399999999999997</v>
      </c>
      <c r="AK20" s="15">
        <f t="shared" si="21"/>
        <v>-0.71399999999999997</v>
      </c>
    </row>
    <row r="21" spans="2:37" ht="15.75" customHeight="1">
      <c r="B21" t="s">
        <v>516</v>
      </c>
      <c r="C21" s="15">
        <f>-0.2*(1+$C$8)</f>
        <v>-0.20400000000000001</v>
      </c>
      <c r="D21" s="15">
        <f t="shared" ref="D21:K21" si="22">-0.2*(1+$C$8)</f>
        <v>-0.20400000000000001</v>
      </c>
      <c r="E21" s="15">
        <f t="shared" si="22"/>
        <v>-0.20400000000000001</v>
      </c>
      <c r="F21" s="15">
        <f t="shared" si="22"/>
        <v>-0.20400000000000001</v>
      </c>
      <c r="G21" s="15">
        <f t="shared" si="22"/>
        <v>-0.20400000000000001</v>
      </c>
      <c r="H21" s="15">
        <f t="shared" si="22"/>
        <v>-0.20400000000000001</v>
      </c>
      <c r="I21" s="15">
        <f t="shared" si="22"/>
        <v>-0.20400000000000001</v>
      </c>
      <c r="J21" s="15">
        <f t="shared" si="22"/>
        <v>-0.20400000000000001</v>
      </c>
      <c r="K21" s="15">
        <f t="shared" si="22"/>
        <v>-0.20400000000000001</v>
      </c>
      <c r="AB21" t="s">
        <v>516</v>
      </c>
      <c r="AC21" s="15">
        <f>-0.2*(1+$C$8)</f>
        <v>-0.20400000000000001</v>
      </c>
      <c r="AD21" s="15">
        <f t="shared" ref="AD21:AK21" si="23">-0.2*(1+$C$8)</f>
        <v>-0.20400000000000001</v>
      </c>
      <c r="AE21" s="15">
        <f t="shared" si="23"/>
        <v>-0.20400000000000001</v>
      </c>
      <c r="AF21" s="15">
        <f t="shared" si="23"/>
        <v>-0.20400000000000001</v>
      </c>
      <c r="AG21" s="15">
        <f t="shared" si="23"/>
        <v>-0.20400000000000001</v>
      </c>
      <c r="AH21" s="15">
        <f t="shared" si="23"/>
        <v>-0.20400000000000001</v>
      </c>
      <c r="AI21" s="15">
        <f t="shared" si="23"/>
        <v>-0.20400000000000001</v>
      </c>
      <c r="AJ21" s="15">
        <f t="shared" si="23"/>
        <v>-0.20400000000000001</v>
      </c>
      <c r="AK21" s="15">
        <f t="shared" si="23"/>
        <v>-0.20400000000000001</v>
      </c>
    </row>
    <row r="22" spans="2:37" ht="15.75" customHeight="1">
      <c r="B22" t="s">
        <v>502</v>
      </c>
      <c r="C22" s="2"/>
      <c r="D22" s="2"/>
      <c r="E22" s="2"/>
      <c r="F22" s="2"/>
      <c r="G22" s="2"/>
      <c r="H22" s="2"/>
      <c r="I22" s="2"/>
      <c r="J22" s="2"/>
      <c r="K22" s="2"/>
      <c r="AB22" t="s">
        <v>502</v>
      </c>
      <c r="AC22" s="2"/>
      <c r="AD22" s="2"/>
      <c r="AE22" s="2"/>
      <c r="AF22" s="2"/>
      <c r="AG22" s="2"/>
      <c r="AH22" s="2"/>
      <c r="AI22" s="2"/>
      <c r="AJ22" s="2"/>
      <c r="AK22" s="2"/>
    </row>
    <row r="23" spans="2:37" ht="15.75" customHeight="1">
      <c r="B23" t="s">
        <v>512</v>
      </c>
      <c r="C23" s="2">
        <f>2</f>
        <v>2</v>
      </c>
      <c r="D23" s="2">
        <v>2.5</v>
      </c>
      <c r="E23" s="2">
        <v>3</v>
      </c>
      <c r="F23" s="2">
        <v>4</v>
      </c>
      <c r="G23" s="2">
        <v>4</v>
      </c>
      <c r="H23" s="2">
        <v>4</v>
      </c>
      <c r="I23" s="2">
        <v>4</v>
      </c>
      <c r="J23" s="2">
        <v>4</v>
      </c>
      <c r="K23" s="2">
        <v>4</v>
      </c>
      <c r="AB23" t="s">
        <v>512</v>
      </c>
      <c r="AC23" s="2">
        <f>2</f>
        <v>2</v>
      </c>
      <c r="AD23" s="2">
        <v>2.5</v>
      </c>
      <c r="AE23" s="2">
        <v>3</v>
      </c>
      <c r="AF23" s="2">
        <v>4</v>
      </c>
      <c r="AG23" s="2">
        <v>4</v>
      </c>
      <c r="AH23" s="2">
        <v>4</v>
      </c>
      <c r="AI23" s="2">
        <v>4</v>
      </c>
      <c r="AJ23" s="2">
        <v>4</v>
      </c>
      <c r="AK23" s="2">
        <v>4</v>
      </c>
    </row>
    <row r="24" spans="2:37" ht="15.75" customHeight="1">
      <c r="B24" t="s">
        <v>513</v>
      </c>
      <c r="C24" s="2">
        <f>$C$5*365/1000000*(1+$C$8)</f>
        <v>2.7922499999999997</v>
      </c>
      <c r="D24" s="2">
        <f>C24*(1+$C$8)*(1+0.02)</f>
        <v>2.9050568999999999</v>
      </c>
      <c r="E24" s="2">
        <f t="shared" ref="E24:E28" si="24">D24*(1+$C$8)*(1+0.02)</f>
        <v>3.02242119876</v>
      </c>
      <c r="F24" s="2">
        <f t="shared" ref="F24:F28" si="25">E24*(1+$C$8)*(1+0.02)</f>
        <v>3.1445270151899041</v>
      </c>
      <c r="G24" s="2">
        <f t="shared" ref="G24:G26" si="26">F24*(1+$C$8)*(1+0.02)</f>
        <v>3.271565906603576</v>
      </c>
      <c r="H24" s="2">
        <f t="shared" ref="H24:H28" si="27">G24*(1+$C$8)*(1+0.02)</f>
        <v>3.4037371692303608</v>
      </c>
      <c r="I24" s="2">
        <f t="shared" ref="I24:I28" si="28">H24*(1+$C$8)*(1+0.02)</f>
        <v>3.5412481508672675</v>
      </c>
      <c r="J24" s="2">
        <f t="shared" ref="J24:J28" si="29">I24*(1+$C$8)*(1+0.02)</f>
        <v>3.6843145761623051</v>
      </c>
      <c r="K24" s="2">
        <f t="shared" ref="K24:K28" si="30">J24*(1+$C$8)*(1+0.02)</f>
        <v>3.8331608850392627</v>
      </c>
      <c r="AB24" t="s">
        <v>513</v>
      </c>
      <c r="AC24" s="2">
        <f>$C$5*365/1000000*(1+$C$8)</f>
        <v>2.7922499999999997</v>
      </c>
      <c r="AD24" s="2">
        <f>AC24*(1+$C$8)*(1+0.02)</f>
        <v>2.9050568999999999</v>
      </c>
      <c r="AE24" s="2">
        <f t="shared" ref="AE24:AE28" si="31">AD24*(1+$C$8)*(1+0.02)</f>
        <v>3.02242119876</v>
      </c>
      <c r="AF24" s="2">
        <f t="shared" ref="AF24:AF28" si="32">AE24*(1+$C$8)*(1+0.02)</f>
        <v>3.1445270151899041</v>
      </c>
      <c r="AG24" s="2">
        <f t="shared" ref="AG24:AG26" si="33">AF24*(1+$C$8)*(1+0.02)</f>
        <v>3.271565906603576</v>
      </c>
      <c r="AH24" s="2">
        <f t="shared" ref="AH24:AH28" si="34">AG24*(1+$C$8)*(1+0.02)</f>
        <v>3.4037371692303608</v>
      </c>
      <c r="AI24" s="2">
        <f t="shared" ref="AI24:AI28" si="35">AH24*(1+$C$8)*(1+0.02)</f>
        <v>3.5412481508672675</v>
      </c>
      <c r="AJ24" s="2">
        <f t="shared" ref="AJ24:AJ28" si="36">AI24*(1+$C$8)*(1+0.02)</f>
        <v>3.6843145761623051</v>
      </c>
      <c r="AK24" s="2">
        <f t="shared" ref="AK24:AK28" si="37">AJ24*(1+$C$8)*(1+0.02)</f>
        <v>3.8331608850392627</v>
      </c>
    </row>
    <row r="25" spans="2:37" ht="15.75" customHeight="1">
      <c r="B25" t="s">
        <v>528</v>
      </c>
      <c r="C25" s="2">
        <f>$C$6*100/1000000*(1+$C$8)</f>
        <v>1.5861000000000001</v>
      </c>
      <c r="D25" s="2">
        <f>C25*(1+$C$8)*(1+0.02)</f>
        <v>1.6501784400000001</v>
      </c>
      <c r="E25" s="2">
        <f t="shared" si="24"/>
        <v>1.7168456489760002</v>
      </c>
      <c r="F25" s="2">
        <f t="shared" si="25"/>
        <v>1.7862062131946308</v>
      </c>
      <c r="G25" s="2">
        <f t="shared" si="26"/>
        <v>1.8583689442076938</v>
      </c>
      <c r="H25" s="2">
        <f t="shared" si="27"/>
        <v>1.9334470495536848</v>
      </c>
      <c r="I25" s="2">
        <f t="shared" si="28"/>
        <v>2.0115583103556536</v>
      </c>
      <c r="J25" s="2">
        <f t="shared" si="29"/>
        <v>2.0928252660940223</v>
      </c>
      <c r="K25" s="2">
        <f t="shared" si="30"/>
        <v>2.177375406844221</v>
      </c>
      <c r="AB25" t="s">
        <v>528</v>
      </c>
      <c r="AC25" s="2">
        <f>$C$6*100/1000000*(1+$C$8)</f>
        <v>1.5861000000000001</v>
      </c>
      <c r="AD25" s="2">
        <f>AC25*(1+$C$8)*(1+0.02)</f>
        <v>1.6501784400000001</v>
      </c>
      <c r="AE25" s="2">
        <f t="shared" si="31"/>
        <v>1.7168456489760002</v>
      </c>
      <c r="AF25" s="2">
        <f t="shared" si="32"/>
        <v>1.7862062131946308</v>
      </c>
      <c r="AG25" s="2">
        <f t="shared" si="33"/>
        <v>1.8583689442076938</v>
      </c>
      <c r="AH25" s="2">
        <f t="shared" si="34"/>
        <v>1.9334470495536848</v>
      </c>
      <c r="AI25" s="2">
        <f t="shared" si="35"/>
        <v>2.0115583103556536</v>
      </c>
      <c r="AJ25" s="2">
        <f t="shared" si="36"/>
        <v>2.0928252660940223</v>
      </c>
      <c r="AK25" s="2">
        <f t="shared" si="37"/>
        <v>2.177375406844221</v>
      </c>
    </row>
    <row r="26" spans="2:37" ht="15.75" customHeight="1">
      <c r="B26" t="s">
        <v>514</v>
      </c>
      <c r="C26" s="2">
        <f>0.3*(1+$C$8)*(1+0.02)</f>
        <v>0.31212000000000001</v>
      </c>
      <c r="D26" s="2">
        <f>C26*(1+$C$8)*(1+0.02)</f>
        <v>0.32472964799999998</v>
      </c>
      <c r="E26" s="2">
        <f t="shared" si="24"/>
        <v>0.3378487257792</v>
      </c>
      <c r="F26" s="2">
        <f t="shared" si="25"/>
        <v>0.35149781430067967</v>
      </c>
      <c r="G26" s="2">
        <f t="shared" si="26"/>
        <v>0.36569832599842717</v>
      </c>
      <c r="H26" s="2">
        <f t="shared" si="27"/>
        <v>0.38047253836876366</v>
      </c>
      <c r="I26" s="2">
        <f t="shared" si="28"/>
        <v>0.39584362891886171</v>
      </c>
      <c r="J26" s="2">
        <f t="shared" si="29"/>
        <v>0.41183571152718373</v>
      </c>
      <c r="K26" s="2">
        <f t="shared" si="30"/>
        <v>0.42847387427288197</v>
      </c>
      <c r="AB26" t="s">
        <v>514</v>
      </c>
      <c r="AC26" s="2">
        <f>0.3*(1+$C$8)*(1+0.02)</f>
        <v>0.31212000000000001</v>
      </c>
      <c r="AD26" s="2">
        <f>AC26*(1+$C$8)*(1+0.02)</f>
        <v>0.32472964799999998</v>
      </c>
      <c r="AE26" s="2">
        <f t="shared" si="31"/>
        <v>0.3378487257792</v>
      </c>
      <c r="AF26" s="2">
        <f t="shared" si="32"/>
        <v>0.35149781430067967</v>
      </c>
      <c r="AG26" s="2">
        <f t="shared" si="33"/>
        <v>0.36569832599842717</v>
      </c>
      <c r="AH26" s="2">
        <f t="shared" si="34"/>
        <v>0.38047253836876366</v>
      </c>
      <c r="AI26" s="2">
        <f t="shared" si="35"/>
        <v>0.39584362891886171</v>
      </c>
      <c r="AJ26" s="2">
        <f t="shared" si="36"/>
        <v>0.41183571152718373</v>
      </c>
      <c r="AK26" s="2">
        <f t="shared" si="37"/>
        <v>0.42847387427288197</v>
      </c>
    </row>
    <row r="27" spans="2:37" ht="15.75" customHeight="1">
      <c r="B27" t="s">
        <v>523</v>
      </c>
      <c r="C27" s="2">
        <f>50*C4*365/1000000</f>
        <v>3.65</v>
      </c>
      <c r="D27" s="2">
        <f>C27*(1+$C$8)*(1+0.02)</f>
        <v>3.7974600000000001</v>
      </c>
      <c r="E27" s="2">
        <f t="shared" si="24"/>
        <v>3.9508773840000004</v>
      </c>
      <c r="F27" s="2">
        <f t="shared" si="25"/>
        <v>4.1104928303136008</v>
      </c>
      <c r="G27" s="2">
        <f>150*$C$4*(1+$C$8)*(1+0.02)*365/1000000</f>
        <v>11.392379999999999</v>
      </c>
      <c r="H27" s="2">
        <f t="shared" si="27"/>
        <v>11.852632152</v>
      </c>
      <c r="I27" s="2">
        <f t="shared" si="28"/>
        <v>12.3314784909408</v>
      </c>
      <c r="J27" s="2">
        <f t="shared" si="29"/>
        <v>12.829670221974808</v>
      </c>
      <c r="K27" s="2">
        <f t="shared" si="30"/>
        <v>13.347988898942591</v>
      </c>
      <c r="AB27" t="s">
        <v>523</v>
      </c>
      <c r="AC27" s="2">
        <f>50*AC4*365/1000000</f>
        <v>3.65</v>
      </c>
      <c r="AD27" s="2">
        <f>AC27*(1+$C$8)*(1+0.02)</f>
        <v>3.7974600000000001</v>
      </c>
      <c r="AE27" s="2">
        <f t="shared" si="31"/>
        <v>3.9508773840000004</v>
      </c>
      <c r="AF27" s="2">
        <f t="shared" si="32"/>
        <v>4.1104928303136008</v>
      </c>
      <c r="AG27" s="2">
        <f>150*$C$4*(1+$C$8)*(1+0.02)*365/1000000</f>
        <v>11.392379999999999</v>
      </c>
      <c r="AH27" s="2">
        <f t="shared" si="34"/>
        <v>11.852632152</v>
      </c>
      <c r="AI27" s="2">
        <f t="shared" si="35"/>
        <v>12.3314784909408</v>
      </c>
      <c r="AJ27" s="2">
        <f t="shared" si="36"/>
        <v>12.829670221974808</v>
      </c>
      <c r="AK27" s="2">
        <f t="shared" si="37"/>
        <v>13.347988898942591</v>
      </c>
    </row>
    <row r="28" spans="2:37" ht="15.75" customHeight="1">
      <c r="B28" t="s">
        <v>524</v>
      </c>
      <c r="C28" s="2">
        <f>50*C4*365/1000000*1.5</f>
        <v>5.4749999999999996</v>
      </c>
      <c r="D28" s="2">
        <f>C28*(1+$C$8)*(1+0.02)</f>
        <v>5.6961899999999996</v>
      </c>
      <c r="E28" s="2">
        <f t="shared" si="24"/>
        <v>5.926316076</v>
      </c>
      <c r="F28" s="2">
        <f t="shared" si="25"/>
        <v>6.1657392454703999</v>
      </c>
      <c r="G28" s="2">
        <f>150*$C$4*(1+$C$8)*(1+0.02)*365/1000000*1.5</f>
        <v>17.088569999999997</v>
      </c>
      <c r="H28" s="2">
        <f t="shared" si="27"/>
        <v>17.778948227999997</v>
      </c>
      <c r="I28" s="2">
        <f t="shared" si="28"/>
        <v>18.497217736411198</v>
      </c>
      <c r="J28" s="2">
        <f t="shared" si="29"/>
        <v>19.244505332962213</v>
      </c>
      <c r="K28" s="2">
        <f t="shared" si="30"/>
        <v>20.021983348413887</v>
      </c>
      <c r="AB28" t="s">
        <v>524</v>
      </c>
      <c r="AC28" s="2">
        <f>50*AC4*365/1000000*1.5</f>
        <v>5.4749999999999996</v>
      </c>
      <c r="AD28" s="2">
        <f>AC28*(1+$C$8)*(1+0.02)</f>
        <v>5.6961899999999996</v>
      </c>
      <c r="AE28" s="2">
        <f t="shared" si="31"/>
        <v>5.926316076</v>
      </c>
      <c r="AF28" s="2">
        <f t="shared" si="32"/>
        <v>6.1657392454703999</v>
      </c>
      <c r="AG28" s="2">
        <f>150*$C$4*(1+$C$8)*(1+0.02)*365/1000000*1.5</f>
        <v>17.088569999999997</v>
      </c>
      <c r="AH28" s="2">
        <f t="shared" si="34"/>
        <v>17.778948227999997</v>
      </c>
      <c r="AI28" s="2">
        <f t="shared" si="35"/>
        <v>18.497217736411198</v>
      </c>
      <c r="AJ28" s="2">
        <f t="shared" si="36"/>
        <v>19.244505332962213</v>
      </c>
      <c r="AK28" s="2">
        <f t="shared" si="37"/>
        <v>20.021983348413887</v>
      </c>
    </row>
    <row r="29" spans="2:37" ht="15.75" customHeight="1"/>
    <row r="30" spans="2:37" ht="15.75" customHeight="1">
      <c r="B30" t="s">
        <v>503</v>
      </c>
      <c r="C30" s="15">
        <f>SUM(C17:C28)</f>
        <v>-20.581717271118166</v>
      </c>
      <c r="D30" s="15">
        <f t="shared" ref="D30:K30" si="38">SUM(D17:D28)</f>
        <v>-20.474287901251707</v>
      </c>
      <c r="E30" s="15">
        <f t="shared" si="38"/>
        <v>-20.371230942414059</v>
      </c>
      <c r="F30" s="15">
        <f t="shared" si="38"/>
        <v>-19.772411056737923</v>
      </c>
      <c r="G30" s="15">
        <f t="shared" si="38"/>
        <v>27.277125896809693</v>
      </c>
      <c r="H30" s="15">
        <f t="shared" si="38"/>
        <v>28.476590711552806</v>
      </c>
      <c r="I30" s="15">
        <f t="shared" si="38"/>
        <v>29.728046963381779</v>
      </c>
      <c r="J30" s="15">
        <f t="shared" si="38"/>
        <v>31.033665767526291</v>
      </c>
      <c r="K30" s="15">
        <f t="shared" si="38"/>
        <v>32.395707365494715</v>
      </c>
      <c r="AB30" t="s">
        <v>503</v>
      </c>
      <c r="AC30" s="15">
        <f>SUM(AC17:AC28)</f>
        <v>-20.581717271118166</v>
      </c>
      <c r="AD30" s="15">
        <f t="shared" ref="AD30:AK30" si="39">SUM(AD17:AD28)</f>
        <v>-20.474287901251707</v>
      </c>
      <c r="AE30" s="15">
        <f t="shared" si="39"/>
        <v>-20.371230942414059</v>
      </c>
      <c r="AF30" s="15">
        <f t="shared" si="39"/>
        <v>-19.772411056737923</v>
      </c>
      <c r="AG30" s="15">
        <f t="shared" si="39"/>
        <v>27.277125896809693</v>
      </c>
      <c r="AH30" s="15">
        <f t="shared" si="39"/>
        <v>28.476590711552806</v>
      </c>
      <c r="AI30" s="15">
        <f t="shared" si="39"/>
        <v>29.728046963381779</v>
      </c>
      <c r="AJ30" s="15">
        <f t="shared" si="39"/>
        <v>31.033665767526291</v>
      </c>
      <c r="AK30" s="15">
        <f t="shared" si="39"/>
        <v>32.395707365494715</v>
      </c>
    </row>
    <row r="31" spans="2:37" ht="15.75" customHeight="1"/>
    <row r="32" spans="2:37" ht="21.95" customHeight="1">
      <c r="B32" s="16" t="s">
        <v>504</v>
      </c>
      <c r="AB32" s="16" t="s">
        <v>504</v>
      </c>
    </row>
    <row r="33" spans="2:45" ht="18.95" customHeight="1">
      <c r="B33" s="17" t="s">
        <v>500</v>
      </c>
      <c r="AB33" s="17" t="s">
        <v>500</v>
      </c>
    </row>
    <row r="34" spans="2:45" ht="27.95" customHeight="1">
      <c r="B34" s="18">
        <f>NPV(C10,C30:K30)</f>
        <v>33.599883732895407</v>
      </c>
      <c r="AB34" s="18">
        <f>NPV(AC10,AC30:AK30)</f>
        <v>33.599883732895407</v>
      </c>
    </row>
    <row r="35" spans="2:45" ht="15.75" customHeight="1"/>
    <row r="36" spans="2:45" ht="15.75" customHeight="1"/>
    <row r="37" spans="2:45" ht="15.75" customHeight="1"/>
    <row r="38" spans="2:45" ht="15.75" customHeight="1">
      <c r="B38" s="20" t="s">
        <v>510</v>
      </c>
      <c r="AB38" s="20" t="s">
        <v>510</v>
      </c>
    </row>
    <row r="39" spans="2:45" ht="15.75" customHeight="1">
      <c r="L39" s="20" t="s">
        <v>529</v>
      </c>
      <c r="AL39" s="20" t="s">
        <v>529</v>
      </c>
    </row>
    <row r="40" spans="2:45" ht="15.75" customHeight="1"/>
    <row r="41" spans="2:45" ht="15.75" customHeight="1">
      <c r="C41" s="26" t="s">
        <v>505</v>
      </c>
      <c r="M41" s="26" t="s">
        <v>508</v>
      </c>
      <c r="O41" s="26" t="s">
        <v>508</v>
      </c>
      <c r="Q41" s="26" t="s">
        <v>508</v>
      </c>
      <c r="AC41" s="26" t="s">
        <v>505</v>
      </c>
      <c r="AM41" s="26" t="s">
        <v>508</v>
      </c>
      <c r="AO41" s="26" t="s">
        <v>508</v>
      </c>
      <c r="AQ41" s="26" t="s">
        <v>508</v>
      </c>
    </row>
    <row r="42" spans="2:45" ht="15.75" customHeight="1">
      <c r="B42" s="21" t="s">
        <v>506</v>
      </c>
      <c r="C42" s="57">
        <v>1.2E-2</v>
      </c>
      <c r="D42" s="23" t="s">
        <v>507</v>
      </c>
      <c r="E42" s="59">
        <v>36.090000000000003</v>
      </c>
      <c r="G42" s="19"/>
      <c r="L42" s="21" t="s">
        <v>506</v>
      </c>
      <c r="M42" s="60">
        <v>329</v>
      </c>
      <c r="N42" s="21" t="s">
        <v>509</v>
      </c>
      <c r="O42" s="60">
        <v>14117</v>
      </c>
      <c r="P42" s="21" t="s">
        <v>511</v>
      </c>
      <c r="Q42" s="57">
        <v>0.13200000000000001</v>
      </c>
      <c r="R42" s="23" t="s">
        <v>507</v>
      </c>
      <c r="S42" s="59">
        <v>62.16</v>
      </c>
      <c r="AB42" s="21" t="s">
        <v>506</v>
      </c>
      <c r="AC42" s="22" t="s">
        <v>0</v>
      </c>
      <c r="AD42" s="23" t="s">
        <v>507</v>
      </c>
      <c r="AE42" s="22" t="s">
        <v>0</v>
      </c>
      <c r="AG42" s="19"/>
      <c r="AL42" s="21" t="s">
        <v>506</v>
      </c>
      <c r="AM42" s="22" t="s">
        <v>0</v>
      </c>
      <c r="AN42" s="21" t="s">
        <v>509</v>
      </c>
      <c r="AO42" s="22" t="s">
        <v>0</v>
      </c>
      <c r="AP42" s="21" t="s">
        <v>511</v>
      </c>
      <c r="AQ42" s="22" t="s">
        <v>0</v>
      </c>
      <c r="AR42" s="23" t="s">
        <v>507</v>
      </c>
      <c r="AS42" s="22" t="s">
        <v>0</v>
      </c>
    </row>
    <row r="43" spans="2:45" ht="15.75" customHeight="1">
      <c r="C43" s="57">
        <v>3.7999999999999999E-2</v>
      </c>
      <c r="E43" s="58">
        <v>32.479999999999997</v>
      </c>
      <c r="G43" s="19"/>
      <c r="M43" s="60">
        <v>95</v>
      </c>
      <c r="O43" s="60">
        <v>19338</v>
      </c>
      <c r="Q43" s="57">
        <v>8.1000000000000003E-2</v>
      </c>
      <c r="S43" s="58">
        <v>-41.86</v>
      </c>
      <c r="AC43" s="24"/>
      <c r="AE43" s="25"/>
      <c r="AG43" s="19"/>
      <c r="AM43" s="24"/>
      <c r="AO43" s="24"/>
      <c r="AQ43" s="24"/>
      <c r="AS43" s="25"/>
    </row>
    <row r="44" spans="2:45" ht="15.75" customHeight="1">
      <c r="C44" s="57">
        <v>-4.0000000000000001E-3</v>
      </c>
      <c r="E44" s="58">
        <v>38.25</v>
      </c>
      <c r="M44" s="60">
        <v>142</v>
      </c>
      <c r="O44" s="60">
        <v>13605</v>
      </c>
      <c r="Q44" s="57">
        <v>0.19</v>
      </c>
      <c r="S44" s="58">
        <v>-30.71</v>
      </c>
      <c r="AC44" s="24"/>
      <c r="AE44" s="25"/>
      <c r="AM44" s="24"/>
      <c r="AO44" s="24"/>
      <c r="AQ44" s="24"/>
      <c r="AS44" s="25"/>
    </row>
    <row r="45" spans="2:45" ht="15.75" customHeight="1">
      <c r="C45" s="57">
        <v>2.5000000000000001E-2</v>
      </c>
      <c r="E45" s="58">
        <v>34.299999999999997</v>
      </c>
      <c r="M45" s="60">
        <v>362</v>
      </c>
      <c r="O45" s="60">
        <v>18206</v>
      </c>
      <c r="Q45" s="57">
        <v>0.129</v>
      </c>
      <c r="S45" s="58">
        <v>81.96</v>
      </c>
      <c r="AC45" s="24"/>
      <c r="AE45" s="25"/>
      <c r="AM45" s="24"/>
      <c r="AO45" s="24"/>
      <c r="AQ45" s="24"/>
      <c r="AS45" s="25"/>
    </row>
    <row r="46" spans="2:45" ht="15.75" customHeight="1">
      <c r="C46" s="57">
        <v>-1.0999999999999999E-2</v>
      </c>
      <c r="E46" s="58">
        <v>39.18</v>
      </c>
      <c r="M46" s="60">
        <v>277</v>
      </c>
      <c r="O46" s="60">
        <v>15637</v>
      </c>
      <c r="Q46" s="57">
        <v>0.10299999999999999</v>
      </c>
      <c r="S46" s="58">
        <v>52.77</v>
      </c>
      <c r="AC46" s="24"/>
      <c r="AE46" s="25"/>
      <c r="AM46" s="24"/>
      <c r="AO46" s="24"/>
      <c r="AQ46" s="24"/>
      <c r="AS46" s="25"/>
    </row>
    <row r="47" spans="2:45" ht="15.75" customHeight="1">
      <c r="C47" s="57">
        <v>2.9000000000000001E-2</v>
      </c>
      <c r="E47" s="58">
        <v>33.74</v>
      </c>
      <c r="M47" s="60">
        <v>132</v>
      </c>
      <c r="O47" s="60">
        <v>19325</v>
      </c>
      <c r="Q47" s="57">
        <v>4.4999999999999998E-2</v>
      </c>
      <c r="S47" s="58">
        <v>-10.7</v>
      </c>
      <c r="AC47" s="24"/>
      <c r="AE47" s="25"/>
      <c r="AM47" s="24"/>
      <c r="AO47" s="24"/>
      <c r="AQ47" s="24"/>
      <c r="AS47" s="25"/>
    </row>
    <row r="48" spans="2:45" ht="15.75" customHeight="1">
      <c r="C48" s="57">
        <v>1.6E-2</v>
      </c>
      <c r="E48" s="58">
        <v>35.54</v>
      </c>
      <c r="M48" s="60">
        <v>496</v>
      </c>
      <c r="O48" s="60">
        <v>6251</v>
      </c>
      <c r="Q48" s="57">
        <v>0.11700000000000001</v>
      </c>
      <c r="S48" s="58">
        <v>150.11000000000001</v>
      </c>
      <c r="AC48" s="24"/>
      <c r="AE48" s="25"/>
      <c r="AM48" s="24"/>
      <c r="AO48" s="24"/>
      <c r="AQ48" s="24"/>
      <c r="AS48" s="25"/>
    </row>
    <row r="49" spans="2:45" ht="15.75" customHeight="1">
      <c r="C49" s="57">
        <v>-8.0000000000000002E-3</v>
      </c>
      <c r="E49" s="58">
        <v>38.78</v>
      </c>
      <c r="M49" s="60">
        <v>262</v>
      </c>
      <c r="O49" s="60">
        <v>18690</v>
      </c>
      <c r="Q49" s="57">
        <v>0.15</v>
      </c>
      <c r="S49" s="58">
        <v>26.72</v>
      </c>
      <c r="AC49" s="24"/>
      <c r="AE49" s="25"/>
      <c r="AM49" s="24"/>
      <c r="AO49" s="24"/>
      <c r="AQ49" s="24"/>
      <c r="AS49" s="25"/>
    </row>
    <row r="50" spans="2:45" ht="15.75" customHeight="1">
      <c r="C50" s="57">
        <v>4.2999999999999997E-2</v>
      </c>
      <c r="E50" s="58">
        <v>31.77</v>
      </c>
      <c r="M50" s="60">
        <v>52</v>
      </c>
      <c r="O50" s="60">
        <v>10162</v>
      </c>
      <c r="Q50" s="57">
        <v>9.0999999999999998E-2</v>
      </c>
      <c r="S50" s="58">
        <v>-73.77</v>
      </c>
      <c r="AC50" s="24"/>
      <c r="AE50" s="25"/>
      <c r="AM50" s="24"/>
      <c r="AO50" s="24"/>
      <c r="AQ50" s="24"/>
      <c r="AS50" s="25"/>
    </row>
    <row r="51" spans="2:45" ht="15.75" customHeight="1">
      <c r="C51" s="57">
        <v>5.0000000000000001E-3</v>
      </c>
      <c r="E51" s="58">
        <v>37.04</v>
      </c>
      <c r="M51" s="60">
        <v>242</v>
      </c>
      <c r="O51" s="60">
        <v>29067</v>
      </c>
      <c r="Q51" s="57">
        <v>0.18099999999999999</v>
      </c>
      <c r="S51" s="58">
        <v>14.81</v>
      </c>
      <c r="AC51" s="24"/>
      <c r="AE51" s="25"/>
      <c r="AM51" s="24"/>
      <c r="AO51" s="24"/>
      <c r="AQ51" s="24"/>
      <c r="AS51" s="25"/>
    </row>
    <row r="52" spans="2:45" ht="15.75" customHeight="1">
      <c r="C52" s="57">
        <v>-1.7000000000000001E-2</v>
      </c>
      <c r="E52" s="58">
        <v>39.979999999999997</v>
      </c>
      <c r="M52" s="60">
        <v>180</v>
      </c>
      <c r="O52" s="60">
        <v>28326</v>
      </c>
      <c r="Q52" s="57">
        <v>5.7000000000000002E-2</v>
      </c>
      <c r="S52" s="58">
        <v>26.55</v>
      </c>
      <c r="AC52" s="24"/>
      <c r="AE52" s="25"/>
      <c r="AM52" s="24"/>
      <c r="AO52" s="24"/>
      <c r="AQ52" s="24"/>
      <c r="AS52" s="25"/>
    </row>
    <row r="53" spans="2:45" ht="15.75" customHeight="1">
      <c r="M53" s="60">
        <v>389</v>
      </c>
      <c r="O53" s="60">
        <v>29814</v>
      </c>
      <c r="Q53" s="57">
        <v>0.13400000000000001</v>
      </c>
      <c r="S53" s="58">
        <v>98.15</v>
      </c>
      <c r="AM53" s="24"/>
      <c r="AO53" s="24"/>
      <c r="AQ53" s="24"/>
      <c r="AS53" s="25"/>
    </row>
    <row r="54" spans="2:45" ht="15.75" customHeight="1">
      <c r="C54" s="19"/>
      <c r="M54" s="60">
        <v>451</v>
      </c>
      <c r="O54" s="60">
        <v>25990</v>
      </c>
      <c r="Q54" s="57">
        <v>0.17799999999999999</v>
      </c>
      <c r="S54" s="58">
        <v>93.16</v>
      </c>
      <c r="AC54" s="19"/>
      <c r="AM54" s="24"/>
      <c r="AO54" s="24"/>
      <c r="AQ54" s="24"/>
      <c r="AS54" s="25"/>
    </row>
    <row r="55" spans="2:45" ht="15.75" customHeight="1">
      <c r="C55" s="19"/>
      <c r="M55" s="60">
        <v>420</v>
      </c>
      <c r="O55" s="60">
        <v>15233</v>
      </c>
      <c r="Q55" s="57">
        <v>5.6000000000000001E-2</v>
      </c>
      <c r="S55" s="58">
        <v>183.21</v>
      </c>
      <c r="AC55" s="19"/>
      <c r="AM55" s="24"/>
      <c r="AO55" s="24"/>
      <c r="AQ55" s="24"/>
      <c r="AS55" s="25"/>
    </row>
    <row r="56" spans="2:45" ht="15.75" customHeight="1">
      <c r="C56" s="26" t="s">
        <v>508</v>
      </c>
      <c r="M56" s="60">
        <v>130</v>
      </c>
      <c r="O56" s="60">
        <v>25132</v>
      </c>
      <c r="Q56" s="57">
        <v>7.3999999999999996E-2</v>
      </c>
      <c r="S56" s="58">
        <v>-14.84</v>
      </c>
      <c r="AC56" s="26" t="s">
        <v>508</v>
      </c>
      <c r="AM56" s="24"/>
      <c r="AO56" s="24"/>
      <c r="AQ56" s="24"/>
      <c r="AS56" s="25"/>
    </row>
    <row r="57" spans="2:45" ht="15.75" customHeight="1">
      <c r="B57" s="21" t="s">
        <v>509</v>
      </c>
      <c r="C57" s="57">
        <v>0.02</v>
      </c>
      <c r="D57" s="23" t="s">
        <v>507</v>
      </c>
      <c r="E57" s="59">
        <v>33.6</v>
      </c>
      <c r="M57" s="60">
        <v>99</v>
      </c>
      <c r="O57" s="60">
        <v>29736</v>
      </c>
      <c r="Q57" s="57">
        <v>3.0000000000000001E-3</v>
      </c>
      <c r="S57" s="58">
        <v>-15.47</v>
      </c>
      <c r="AB57" s="21" t="s">
        <v>509</v>
      </c>
      <c r="AC57" s="22" t="s">
        <v>0</v>
      </c>
      <c r="AD57" s="23" t="s">
        <v>507</v>
      </c>
      <c r="AE57" s="22" t="s">
        <v>0</v>
      </c>
      <c r="AM57" s="24"/>
      <c r="AO57" s="24"/>
      <c r="AQ57" s="24"/>
      <c r="AS57" s="25"/>
    </row>
    <row r="58" spans="2:45" ht="15.75" customHeight="1">
      <c r="C58" s="57">
        <v>2.5000000000000001E-2</v>
      </c>
      <c r="E58" s="58">
        <v>35.19</v>
      </c>
      <c r="M58" s="60">
        <v>55</v>
      </c>
      <c r="O58" s="60">
        <v>11461</v>
      </c>
      <c r="Q58" s="57">
        <v>5.8999999999999997E-2</v>
      </c>
      <c r="S58" s="58">
        <v>-73.52</v>
      </c>
      <c r="AC58" s="24"/>
      <c r="AE58" s="25"/>
      <c r="AM58" s="24"/>
      <c r="AO58" s="24"/>
      <c r="AQ58" s="24"/>
      <c r="AS58" s="25"/>
    </row>
    <row r="59" spans="2:45" ht="15.75" customHeight="1">
      <c r="C59" s="57">
        <v>2.5999999999999999E-2</v>
      </c>
      <c r="E59" s="58">
        <v>35.51</v>
      </c>
      <c r="M59" s="60">
        <v>118</v>
      </c>
      <c r="O59" s="60">
        <v>9362</v>
      </c>
      <c r="Q59" s="57">
        <v>0.19700000000000001</v>
      </c>
      <c r="S59" s="58">
        <v>-41.43</v>
      </c>
      <c r="AC59" s="24"/>
      <c r="AE59" s="25"/>
      <c r="AM59" s="24"/>
      <c r="AO59" s="24"/>
      <c r="AQ59" s="24"/>
      <c r="AS59" s="25"/>
    </row>
    <row r="60" spans="2:45" ht="15.75" customHeight="1">
      <c r="C60" s="57">
        <v>3.1E-2</v>
      </c>
      <c r="E60" s="58">
        <v>37.119999999999997</v>
      </c>
      <c r="M60" s="60">
        <v>220</v>
      </c>
      <c r="O60" s="60">
        <v>22365</v>
      </c>
      <c r="Q60" s="57">
        <v>0.152</v>
      </c>
      <c r="S60" s="58">
        <v>10.15</v>
      </c>
      <c r="AC60" s="24"/>
      <c r="AE60" s="25"/>
      <c r="AM60" s="24"/>
      <c r="AO60" s="24"/>
      <c r="AQ60" s="24"/>
      <c r="AS60" s="25"/>
    </row>
    <row r="61" spans="2:45" ht="15.75" customHeight="1">
      <c r="C61" s="57">
        <v>2.1000000000000001E-2</v>
      </c>
      <c r="E61" s="58">
        <v>33.92</v>
      </c>
      <c r="M61" s="60">
        <v>135</v>
      </c>
      <c r="O61" s="60">
        <v>5425</v>
      </c>
      <c r="Q61" s="57">
        <v>0.11600000000000001</v>
      </c>
      <c r="S61" s="58">
        <v>-32.380000000000003</v>
      </c>
      <c r="AC61" s="24"/>
      <c r="AE61" s="25"/>
      <c r="AM61" s="24"/>
      <c r="AO61" s="24"/>
      <c r="AQ61" s="24"/>
      <c r="AS61" s="25"/>
    </row>
    <row r="62" spans="2:45" ht="15.75" customHeight="1">
      <c r="C62" s="57">
        <v>3.3000000000000002E-2</v>
      </c>
      <c r="E62" s="58">
        <v>37.770000000000003</v>
      </c>
      <c r="M62" s="60">
        <v>491</v>
      </c>
      <c r="O62" s="60">
        <v>13477</v>
      </c>
      <c r="Q62" s="57">
        <v>0.121</v>
      </c>
      <c r="S62" s="58">
        <v>148.13</v>
      </c>
      <c r="AC62" s="24"/>
      <c r="AE62" s="25"/>
      <c r="AM62" s="24"/>
      <c r="AO62" s="24"/>
      <c r="AQ62" s="24"/>
      <c r="AS62" s="25"/>
    </row>
    <row r="63" spans="2:45" ht="15.75" customHeight="1">
      <c r="C63" s="57">
        <v>1.7999999999999999E-2</v>
      </c>
      <c r="E63" s="58">
        <v>32.97</v>
      </c>
      <c r="M63" s="60">
        <v>442</v>
      </c>
      <c r="O63" s="60">
        <v>22314</v>
      </c>
      <c r="Q63" s="57">
        <v>5.3999999999999999E-2</v>
      </c>
      <c r="S63" s="58">
        <v>207.28</v>
      </c>
      <c r="AC63" s="24"/>
      <c r="AE63" s="25"/>
      <c r="AM63" s="24"/>
      <c r="AO63" s="24"/>
      <c r="AQ63" s="24"/>
      <c r="AS63" s="25"/>
    </row>
    <row r="64" spans="2:45" ht="15.75" customHeight="1">
      <c r="C64" s="57">
        <v>1.2999999999999999E-2</v>
      </c>
      <c r="E64" s="58">
        <v>31.41</v>
      </c>
      <c r="M64" s="60">
        <v>312</v>
      </c>
      <c r="O64" s="60">
        <v>7760</v>
      </c>
      <c r="Q64" s="57">
        <v>0.10199999999999999</v>
      </c>
      <c r="S64" s="58">
        <v>67.08</v>
      </c>
      <c r="AC64" s="24"/>
      <c r="AE64" s="25"/>
      <c r="AM64" s="24"/>
      <c r="AO64" s="24"/>
      <c r="AQ64" s="24"/>
      <c r="AS64" s="25"/>
    </row>
    <row r="65" spans="3:45" ht="15.75" customHeight="1">
      <c r="C65" s="57">
        <v>4.5999999999999999E-2</v>
      </c>
      <c r="E65" s="58">
        <v>42.09</v>
      </c>
      <c r="M65" s="60">
        <v>378</v>
      </c>
      <c r="O65" s="60">
        <v>7743</v>
      </c>
      <c r="Q65" s="57">
        <v>0.159</v>
      </c>
      <c r="S65" s="58">
        <v>65.69</v>
      </c>
      <c r="AC65" s="24"/>
      <c r="AE65" s="25"/>
      <c r="AM65" s="24"/>
      <c r="AO65" s="24"/>
      <c r="AQ65" s="24"/>
      <c r="AS65" s="25"/>
    </row>
    <row r="66" spans="3:45" ht="15.75" customHeight="1">
      <c r="C66" s="57">
        <v>1.4E-2</v>
      </c>
      <c r="E66" s="58">
        <v>31.72</v>
      </c>
      <c r="M66" s="60">
        <v>115</v>
      </c>
      <c r="O66" s="60">
        <v>12264</v>
      </c>
      <c r="Q66" s="57">
        <v>0.17100000000000001</v>
      </c>
      <c r="S66" s="58">
        <v>-40.700000000000003</v>
      </c>
      <c r="AC66" s="24"/>
      <c r="AE66" s="25"/>
      <c r="AM66" s="24"/>
      <c r="AO66" s="24"/>
      <c r="AQ66" s="24"/>
      <c r="AS66" s="25"/>
    </row>
    <row r="67" spans="3:45" ht="15.75" customHeight="1">
      <c r="C67" s="57">
        <v>3.5999999999999997E-2</v>
      </c>
      <c r="E67" s="58">
        <v>38.75</v>
      </c>
      <c r="M67" s="60">
        <v>166</v>
      </c>
      <c r="O67" s="60">
        <v>14972</v>
      </c>
      <c r="Q67" s="57">
        <v>1.9E-2</v>
      </c>
      <c r="S67" s="58">
        <v>23.03</v>
      </c>
      <c r="AC67" s="24"/>
      <c r="AE67" s="25"/>
      <c r="AM67" s="24"/>
      <c r="AO67" s="24"/>
      <c r="AQ67" s="24"/>
      <c r="AS67" s="25"/>
    </row>
    <row r="68" spans="3:45" ht="15.75" customHeight="1">
      <c r="C68" s="57">
        <v>1.9E-2</v>
      </c>
      <c r="E68" s="58">
        <v>33.29</v>
      </c>
      <c r="M68" s="60">
        <v>63</v>
      </c>
      <c r="O68" s="60">
        <v>18976</v>
      </c>
      <c r="Q68" s="57">
        <v>0.108</v>
      </c>
      <c r="S68" s="58">
        <v>-60.64</v>
      </c>
      <c r="AC68" s="24"/>
      <c r="AE68" s="25"/>
      <c r="AM68" s="24"/>
      <c r="AO68" s="24"/>
      <c r="AQ68" s="24"/>
      <c r="AS68" s="25"/>
    </row>
    <row r="69" spans="3:45" ht="15.75" customHeight="1">
      <c r="C69" s="57">
        <v>4.8000000000000001E-2</v>
      </c>
      <c r="E69" s="58">
        <v>42.77</v>
      </c>
      <c r="M69" s="60">
        <v>423</v>
      </c>
      <c r="O69" s="60">
        <v>12774</v>
      </c>
      <c r="Q69" s="57">
        <v>8.3000000000000004E-2</v>
      </c>
      <c r="S69" s="58">
        <v>150.22</v>
      </c>
      <c r="AC69" s="24"/>
      <c r="AE69" s="25"/>
      <c r="AM69" s="24"/>
      <c r="AO69" s="24"/>
      <c r="AQ69" s="24"/>
      <c r="AS69" s="25"/>
    </row>
    <row r="70" spans="3:45" ht="15.75" customHeight="1">
      <c r="C70" s="57">
        <v>4.3999999999999997E-2</v>
      </c>
      <c r="E70" s="58">
        <v>41.42</v>
      </c>
      <c r="M70" s="60">
        <v>403</v>
      </c>
      <c r="O70" s="60">
        <v>12390</v>
      </c>
      <c r="Q70" s="57">
        <v>1.4999999999999999E-2</v>
      </c>
      <c r="S70" s="58">
        <v>231.56</v>
      </c>
      <c r="AC70" s="24"/>
      <c r="AE70" s="25"/>
      <c r="AM70" s="24"/>
      <c r="AO70" s="24"/>
      <c r="AQ70" s="24"/>
      <c r="AS70" s="25"/>
    </row>
    <row r="71" spans="3:45" ht="15.75" customHeight="1">
      <c r="C71" s="57">
        <v>2.8000000000000001E-2</v>
      </c>
      <c r="E71" s="58">
        <v>36.15</v>
      </c>
      <c r="M71" s="60">
        <v>406</v>
      </c>
      <c r="O71" s="60">
        <v>25199</v>
      </c>
      <c r="Q71" s="57">
        <v>0.09</v>
      </c>
      <c r="S71" s="58">
        <v>141.65</v>
      </c>
      <c r="AC71" s="24"/>
      <c r="AE71" s="25"/>
      <c r="AM71" s="24"/>
      <c r="AO71" s="24"/>
      <c r="AQ71" s="24"/>
      <c r="AS71" s="25"/>
    </row>
    <row r="72" spans="3:45" ht="15.75" customHeight="1">
      <c r="C72" s="57">
        <v>0.03</v>
      </c>
      <c r="E72" s="58">
        <v>36.799999999999997</v>
      </c>
      <c r="M72" s="60">
        <v>200</v>
      </c>
      <c r="O72" s="60">
        <v>12740</v>
      </c>
      <c r="Q72" s="57">
        <v>0.14000000000000001</v>
      </c>
      <c r="S72" s="58">
        <v>-1.02</v>
      </c>
      <c r="AC72" s="24"/>
      <c r="AE72" s="25"/>
      <c r="AM72" s="24"/>
      <c r="AO72" s="24"/>
      <c r="AQ72" s="24"/>
      <c r="AS72" s="25"/>
    </row>
    <row r="73" spans="3:45" ht="15.75" customHeight="1">
      <c r="C73" s="57">
        <v>4.1000000000000002E-2</v>
      </c>
      <c r="E73" s="58">
        <v>40.409999999999997</v>
      </c>
      <c r="M73" s="60">
        <v>253</v>
      </c>
      <c r="O73" s="60">
        <v>14395</v>
      </c>
      <c r="Q73" s="57">
        <v>0.1</v>
      </c>
      <c r="S73" s="58">
        <v>40.39</v>
      </c>
      <c r="AC73" s="24"/>
      <c r="AE73" s="25"/>
      <c r="AM73" s="24"/>
      <c r="AO73" s="24"/>
      <c r="AQ73" s="24"/>
      <c r="AS73" s="25"/>
    </row>
    <row r="74" spans="3:45" ht="15.75" customHeight="1">
      <c r="C74" s="57">
        <v>4.2999999999999997E-2</v>
      </c>
      <c r="E74" s="58">
        <v>41.08</v>
      </c>
      <c r="M74" s="60">
        <v>300</v>
      </c>
      <c r="O74" s="60">
        <v>15026</v>
      </c>
      <c r="Q74" s="57">
        <v>0.189</v>
      </c>
      <c r="S74" s="58">
        <v>27</v>
      </c>
      <c r="AC74" s="24"/>
      <c r="AE74" s="25"/>
      <c r="AM74" s="24"/>
      <c r="AO74" s="24"/>
      <c r="AQ74" s="24"/>
      <c r="AS74" s="25"/>
    </row>
    <row r="75" spans="3:45" ht="15.75" customHeight="1">
      <c r="C75" s="57">
        <v>2.3E-2</v>
      </c>
      <c r="E75" s="58">
        <v>34.549999999999997</v>
      </c>
      <c r="M75" s="60">
        <v>411</v>
      </c>
      <c r="O75" s="60">
        <v>26036</v>
      </c>
      <c r="Q75" s="57">
        <v>0.11799999999999999</v>
      </c>
      <c r="S75" s="58">
        <v>118.84</v>
      </c>
      <c r="AC75" s="24"/>
      <c r="AE75" s="25"/>
      <c r="AM75" s="24"/>
      <c r="AO75" s="24"/>
      <c r="AQ75" s="24"/>
      <c r="AS75" s="25"/>
    </row>
    <row r="76" spans="3:45" ht="15.75" customHeight="1">
      <c r="C76" s="57">
        <v>2.7E-2</v>
      </c>
      <c r="E76" s="58">
        <v>35.83</v>
      </c>
      <c r="M76" s="60">
        <v>304</v>
      </c>
      <c r="O76" s="60">
        <v>15240</v>
      </c>
      <c r="Q76" s="57">
        <v>0.106</v>
      </c>
      <c r="S76" s="58">
        <v>65.28</v>
      </c>
      <c r="AC76" s="24"/>
      <c r="AE76" s="25"/>
      <c r="AM76" s="24"/>
      <c r="AO76" s="24"/>
      <c r="AQ76" s="24"/>
      <c r="AS76" s="25"/>
    </row>
    <row r="77" spans="3:45" ht="15.75" customHeight="1">
      <c r="C77" s="57">
        <v>1.6E-2</v>
      </c>
      <c r="E77" s="58">
        <v>32.35</v>
      </c>
      <c r="M77" s="60">
        <v>143</v>
      </c>
      <c r="O77" s="60">
        <v>23114</v>
      </c>
      <c r="Q77" s="57">
        <v>0.123</v>
      </c>
      <c r="S77" s="58">
        <v>-18.3</v>
      </c>
      <c r="AC77" s="24"/>
      <c r="AE77" s="25"/>
      <c r="AM77" s="24"/>
      <c r="AO77" s="24"/>
      <c r="AQ77" s="24"/>
      <c r="AS77" s="25"/>
    </row>
    <row r="78" spans="3:45" ht="15.75" customHeight="1"/>
    <row r="79" spans="3:45" ht="15.75" customHeight="1"/>
    <row r="80" spans="3:45"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10.part5A">
                <anchor moveWithCells="1">
                  <from>
                    <xdr:col>5</xdr:col>
                    <xdr:colOff>228600</xdr:colOff>
                    <xdr:row>41</xdr:row>
                    <xdr:rowOff>47625</xdr:rowOff>
                  </from>
                  <to>
                    <xdr:col>7</xdr:col>
                    <xdr:colOff>533400</xdr:colOff>
                    <xdr:row>42</xdr:row>
                    <xdr:rowOff>133350</xdr:rowOff>
                  </to>
                </anchor>
              </controlPr>
            </control>
          </mc:Choice>
        </mc:AlternateContent>
        <mc:AlternateContent xmlns:mc="http://schemas.openxmlformats.org/markup-compatibility/2006">
          <mc:Choice Requires="x14">
            <control shapeId="2050" r:id="rId5" name="Button 2">
              <controlPr defaultSize="0" print="0" autoFill="0" autoPict="0" macro="[0]!Sheet10.part5B">
                <anchor moveWithCells="1">
                  <from>
                    <xdr:col>5</xdr:col>
                    <xdr:colOff>200025</xdr:colOff>
                    <xdr:row>56</xdr:row>
                    <xdr:rowOff>9525</xdr:rowOff>
                  </from>
                  <to>
                    <xdr:col>7</xdr:col>
                    <xdr:colOff>504825</xdr:colOff>
                    <xdr:row>57</xdr:row>
                    <xdr:rowOff>104775</xdr:rowOff>
                  </to>
                </anchor>
              </controlPr>
            </control>
          </mc:Choice>
        </mc:AlternateContent>
        <mc:AlternateContent xmlns:mc="http://schemas.openxmlformats.org/markup-compatibility/2006">
          <mc:Choice Requires="x14">
            <control shapeId="2051" r:id="rId6" name="Button 3">
              <controlPr defaultSize="0" print="0" autoFill="0" autoPict="0" macro="[0]!Sheet10.part5C">
                <anchor moveWithCells="1">
                  <from>
                    <xdr:col>19</xdr:col>
                    <xdr:colOff>85725</xdr:colOff>
                    <xdr:row>41</xdr:row>
                    <xdr:rowOff>28575</xdr:rowOff>
                  </from>
                  <to>
                    <xdr:col>21</xdr:col>
                    <xdr:colOff>390525</xdr:colOff>
                    <xdr:row>42</xdr:row>
                    <xdr:rowOff>114300</xdr:rowOff>
                  </to>
                </anchor>
              </controlPr>
            </control>
          </mc:Choice>
        </mc:AlternateContent>
        <mc:AlternateContent xmlns:mc="http://schemas.openxmlformats.org/markup-compatibility/2006">
          <mc:Choice Requires="x14">
            <control shapeId="2052" r:id="rId7" name="Button 4">
              <controlPr defaultSize="0" print="0" autoFill="0" autoPict="0" macro="[0]!Sheet10.reset">
                <anchor moveWithCells="1" sizeWithCells="1">
                  <from>
                    <xdr:col>5</xdr:col>
                    <xdr:colOff>200025</xdr:colOff>
                    <xdr:row>33</xdr:row>
                    <xdr:rowOff>66675</xdr:rowOff>
                  </from>
                  <to>
                    <xdr:col>6</xdr:col>
                    <xdr:colOff>504825</xdr:colOff>
                    <xdr:row>35</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81226-54DC-45B0-9961-02E936B6BDF7}">
  <sheetPr codeName="Sheet11"/>
  <dimension ref="E5:F104"/>
  <sheetViews>
    <sheetView workbookViewId="0">
      <selection activeCell="C13" sqref="C13"/>
    </sheetView>
  </sheetViews>
  <sheetFormatPr defaultColWidth="11" defaultRowHeight="15.75"/>
  <cols>
    <col min="6" max="6" width="255.625" bestFit="1" customWidth="1"/>
  </cols>
  <sheetData>
    <row r="5" spans="5:6">
      <c r="E5" s="61"/>
      <c r="F5" t="s">
        <v>533</v>
      </c>
    </row>
    <row r="6" spans="5:6">
      <c r="E6" s="61"/>
    </row>
    <row r="7" spans="5:6">
      <c r="E7" s="61"/>
    </row>
    <row r="8" spans="5:6">
      <c r="E8" s="61"/>
    </row>
    <row r="9" spans="5:6">
      <c r="E9" s="61"/>
    </row>
    <row r="10" spans="5:6">
      <c r="E10" s="63"/>
    </row>
    <row r="11" spans="5:6">
      <c r="E11" s="63"/>
    </row>
    <row r="12" spans="5:6">
      <c r="E12" s="63"/>
    </row>
    <row r="13" spans="5:6">
      <c r="E13" s="62"/>
    </row>
    <row r="14" spans="5:6">
      <c r="E14" s="61"/>
    </row>
    <row r="15" spans="5:6">
      <c r="E15" s="63"/>
    </row>
    <row r="16" spans="5:6">
      <c r="E16" s="61"/>
    </row>
    <row r="17" spans="5:5">
      <c r="E17" s="63"/>
    </row>
    <row r="18" spans="5:5">
      <c r="E18" s="62"/>
    </row>
    <row r="19" spans="5:5">
      <c r="E19" s="63"/>
    </row>
    <row r="20" spans="5:5">
      <c r="E20" s="63"/>
    </row>
    <row r="21" spans="5:5">
      <c r="E21" s="63"/>
    </row>
    <row r="23" spans="5:5">
      <c r="E23" s="62"/>
    </row>
    <row r="24" spans="5:5">
      <c r="E24" s="63"/>
    </row>
    <row r="25" spans="5:5">
      <c r="E25" s="63"/>
    </row>
    <row r="26" spans="5:5">
      <c r="E26" s="62"/>
    </row>
    <row r="27" spans="5:5">
      <c r="E27" s="61"/>
    </row>
    <row r="28" spans="5:5">
      <c r="E28" s="61"/>
    </row>
    <row r="29" spans="5:5">
      <c r="E29" s="61"/>
    </row>
    <row r="30" spans="5:5">
      <c r="E30" s="62"/>
    </row>
    <row r="32" spans="5:5">
      <c r="E32" s="63"/>
    </row>
    <row r="33" spans="5:5">
      <c r="E33" s="62"/>
    </row>
    <row r="34" spans="5:5">
      <c r="E34" s="62"/>
    </row>
    <row r="35" spans="5:5">
      <c r="E35" s="61"/>
    </row>
    <row r="36" spans="5:5">
      <c r="E36" s="62"/>
    </row>
    <row r="37" spans="5:5">
      <c r="E37" s="63"/>
    </row>
    <row r="38" spans="5:5">
      <c r="E38" s="61"/>
    </row>
    <row r="39" spans="5:5">
      <c r="E39" s="62"/>
    </row>
    <row r="42" spans="5:5">
      <c r="E42" s="62"/>
    </row>
    <row r="43" spans="5:5">
      <c r="E43" s="61"/>
    </row>
    <row r="44" spans="5:5">
      <c r="E44" s="62"/>
    </row>
    <row r="46" spans="5:5">
      <c r="E46" s="61"/>
    </row>
    <row r="48" spans="5:5">
      <c r="E48" s="61"/>
    </row>
    <row r="49" spans="5:5">
      <c r="E49" s="61"/>
    </row>
    <row r="50" spans="5:5">
      <c r="E50" s="63"/>
    </row>
    <row r="51" spans="5:5">
      <c r="E51" s="62"/>
    </row>
    <row r="52" spans="5:5">
      <c r="E52" s="61"/>
    </row>
    <row r="53" spans="5:5">
      <c r="E53" s="61"/>
    </row>
    <row r="54" spans="5:5">
      <c r="E54" s="63"/>
    </row>
    <row r="55" spans="5:5">
      <c r="E55" s="63"/>
    </row>
    <row r="56" spans="5:5">
      <c r="E56" s="63"/>
    </row>
    <row r="57" spans="5:5">
      <c r="E57" s="63"/>
    </row>
    <row r="58" spans="5:5">
      <c r="E58" s="62"/>
    </row>
    <row r="59" spans="5:5">
      <c r="E59" s="63"/>
    </row>
    <row r="60" spans="5:5">
      <c r="E60" s="63"/>
    </row>
    <row r="61" spans="5:5">
      <c r="E61" s="61"/>
    </row>
    <row r="62" spans="5:5">
      <c r="E62" s="63"/>
    </row>
    <row r="63" spans="5:5">
      <c r="E63" s="63"/>
    </row>
    <row r="64" spans="5:5">
      <c r="E64" s="62"/>
    </row>
    <row r="65" spans="5:5">
      <c r="E65" s="63"/>
    </row>
    <row r="66" spans="5:5">
      <c r="E66" s="62"/>
    </row>
    <row r="67" spans="5:5">
      <c r="E67" s="62"/>
    </row>
    <row r="68" spans="5:5">
      <c r="E68" s="63"/>
    </row>
    <row r="69" spans="5:5">
      <c r="E69" s="62"/>
    </row>
    <row r="70" spans="5:5">
      <c r="E70" s="62"/>
    </row>
    <row r="71" spans="5:5">
      <c r="E71" s="62"/>
    </row>
    <row r="72" spans="5:5">
      <c r="E72" s="62"/>
    </row>
    <row r="73" spans="5:5">
      <c r="E73" s="61"/>
    </row>
    <row r="74" spans="5:5">
      <c r="E74" s="62"/>
    </row>
    <row r="75" spans="5:5">
      <c r="E75" s="61"/>
    </row>
    <row r="76" spans="5:5">
      <c r="E76" s="61"/>
    </row>
    <row r="78" spans="5:5">
      <c r="E78" s="62"/>
    </row>
    <row r="79" spans="5:5">
      <c r="E79" s="61"/>
    </row>
    <row r="80" spans="5:5">
      <c r="E80" s="61"/>
    </row>
    <row r="81" spans="5:5">
      <c r="E81" s="61"/>
    </row>
    <row r="83" spans="5:5">
      <c r="E83" s="61"/>
    </row>
    <row r="84" spans="5:5">
      <c r="E84" s="61"/>
    </row>
    <row r="85" spans="5:5">
      <c r="E85" s="62"/>
    </row>
    <row r="86" spans="5:5">
      <c r="E86" s="62"/>
    </row>
    <row r="87" spans="5:5">
      <c r="E87" s="62"/>
    </row>
    <row r="88" spans="5:5">
      <c r="E88" s="62"/>
    </row>
    <row r="89" spans="5:5">
      <c r="E89" s="63"/>
    </row>
    <row r="90" spans="5:5">
      <c r="E90" s="62"/>
    </row>
    <row r="91" spans="5:5">
      <c r="E91" s="62"/>
    </row>
    <row r="92" spans="5:5">
      <c r="E92" s="62"/>
    </row>
    <row r="93" spans="5:5">
      <c r="E93" s="61"/>
    </row>
    <row r="94" spans="5:5">
      <c r="E94" s="63"/>
    </row>
    <row r="95" spans="5:5">
      <c r="E95" s="63"/>
    </row>
    <row r="96" spans="5:5">
      <c r="E96" s="63"/>
    </row>
    <row r="97" spans="5:5">
      <c r="E97" s="61"/>
    </row>
    <row r="98" spans="5:5">
      <c r="E98" s="63"/>
    </row>
    <row r="99" spans="5:5">
      <c r="E99" s="62"/>
    </row>
    <row r="100" spans="5:5">
      <c r="E100" s="61"/>
    </row>
    <row r="101" spans="5:5">
      <c r="E101" s="61"/>
    </row>
    <row r="102" spans="5:5">
      <c r="E102" s="62"/>
    </row>
    <row r="103" spans="5:5">
      <c r="E103" s="62"/>
    </row>
    <row r="104" spans="5:5">
      <c r="E104" s="6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heet11.part6">
                <anchor moveWithCells="1">
                  <from>
                    <xdr:col>1</xdr:col>
                    <xdr:colOff>76200</xdr:colOff>
                    <xdr:row>1</xdr:row>
                    <xdr:rowOff>114300</xdr:rowOff>
                  </from>
                  <to>
                    <xdr:col>3</xdr:col>
                    <xdr:colOff>381000</xdr:colOff>
                    <xdr:row>3</xdr:row>
                    <xdr:rowOff>0</xdr:rowOff>
                  </to>
                </anchor>
              </controlPr>
            </control>
          </mc:Choice>
        </mc:AlternateContent>
        <mc:AlternateContent xmlns:mc="http://schemas.openxmlformats.org/markup-compatibility/2006">
          <mc:Choice Requires="x14">
            <control shapeId="17410" r:id="rId4" name="Button 2">
              <controlPr defaultSize="0" print="0" autoFill="0" autoPict="0" macro="[0]!Sheet11.reset">
                <anchor moveWithCells="1" sizeWithCells="1">
                  <from>
                    <xdr:col>1</xdr:col>
                    <xdr:colOff>114300</xdr:colOff>
                    <xdr:row>5</xdr:row>
                    <xdr:rowOff>95250</xdr:rowOff>
                  </from>
                  <to>
                    <xdr:col>2</xdr:col>
                    <xdr:colOff>419100</xdr:colOff>
                    <xdr:row>8</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Info</vt:lpstr>
      <vt:lpstr>Part 1</vt:lpstr>
      <vt:lpstr>Part 2</vt:lpstr>
      <vt:lpstr>Part 3</vt:lpstr>
      <vt:lpstr>Part 4</vt:lpstr>
      <vt:lpstr>Part 4 - Agent 1</vt:lpstr>
      <vt:lpstr>Part 4 - Agent 2</vt:lpstr>
      <vt:lpstr>Part 4 - Agent 3</vt:lpstr>
      <vt:lpstr>Part 4 - Agent 4</vt:lpstr>
      <vt:lpstr>Part 5</vt:lpstr>
      <vt:lpstr>Part 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Badarinza</dc:creator>
  <cp:lastModifiedBy>Javern Goh</cp:lastModifiedBy>
  <dcterms:created xsi:type="dcterms:W3CDTF">2021-09-04T06:51:56Z</dcterms:created>
  <dcterms:modified xsi:type="dcterms:W3CDTF">2022-09-26T09:05:00Z</dcterms:modified>
</cp:coreProperties>
</file>