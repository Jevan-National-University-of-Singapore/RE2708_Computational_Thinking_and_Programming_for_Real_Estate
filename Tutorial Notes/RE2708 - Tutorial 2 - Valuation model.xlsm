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badarinza/Dropbox/Teaching/RE2708/Tutorials/"/>
    </mc:Choice>
  </mc:AlternateContent>
  <xr:revisionPtr revIDLastSave="0" documentId="13_ncr:1_{C789DA39-71F3-0B4A-907B-77FCD36A4374}" xr6:coauthVersionLast="47" xr6:coauthVersionMax="47" xr10:uidLastSave="{00000000-0000-0000-0000-000000000000}"/>
  <bookViews>
    <workbookView xWindow="0" yWindow="500" windowWidth="25600" windowHeight="14600" xr2:uid="{3F952128-BAD5-DE44-892B-7D66AAA75D3B}"/>
  </bookViews>
  <sheets>
    <sheet name="Model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3" l="1"/>
  <c r="F20" i="3" s="1"/>
  <c r="G20" i="3" s="1"/>
  <c r="H20" i="3" s="1"/>
  <c r="I20" i="3" s="1"/>
  <c r="J20" i="3" s="1"/>
  <c r="K20" i="3" s="1"/>
  <c r="K19" i="3"/>
  <c r="G17" i="3" l="1"/>
  <c r="H17" i="3"/>
  <c r="I17" i="3"/>
  <c r="J17" i="3"/>
  <c r="K17" i="3"/>
  <c r="C17" i="3"/>
  <c r="C22" i="3" s="1"/>
  <c r="D16" i="3"/>
  <c r="E16" i="3" s="1"/>
  <c r="F16" i="3" s="1"/>
  <c r="F17" i="3" s="1"/>
  <c r="H22" i="3" l="1"/>
  <c r="I22" i="3"/>
  <c r="G22" i="3"/>
  <c r="K22" i="3"/>
  <c r="J22" i="3"/>
  <c r="F22" i="3"/>
  <c r="E17" i="3"/>
  <c r="E22" i="3" s="1"/>
  <c r="D17" i="3"/>
  <c r="D22" i="3" s="1"/>
  <c r="B26" i="3" l="1"/>
</calcChain>
</file>

<file path=xl/sharedStrings.xml><?xml version="1.0" encoding="utf-8"?>
<sst xmlns="http://schemas.openxmlformats.org/spreadsheetml/2006/main" count="20" uniqueCount="19">
  <si>
    <t>Assumptions</t>
  </si>
  <si>
    <t>Construction cost growth</t>
  </si>
  <si>
    <t>House price growth</t>
  </si>
  <si>
    <t>Rental market growth</t>
  </si>
  <si>
    <t>Residential vacancy rate</t>
  </si>
  <si>
    <t>Year</t>
  </si>
  <si>
    <t>Energy consumption rate</t>
  </si>
  <si>
    <t>Costs</t>
  </si>
  <si>
    <t>Revenue</t>
  </si>
  <si>
    <t xml:space="preserve">   Construction expenses</t>
  </si>
  <si>
    <t xml:space="preserve">   Energy consumption</t>
  </si>
  <si>
    <r>
      <t>Valuation model</t>
    </r>
    <r>
      <rPr>
        <sz val="12"/>
        <color theme="1"/>
        <rFont val="Calibri (Body)"/>
      </rPr>
      <t xml:space="preserve"> </t>
    </r>
  </si>
  <si>
    <t xml:space="preserve">   (million SGD)</t>
  </si>
  <si>
    <t>Project discount rate</t>
  </si>
  <si>
    <t>Net profit</t>
  </si>
  <si>
    <t>Valuation:</t>
  </si>
  <si>
    <t xml:space="preserve">   Sales of units</t>
  </si>
  <si>
    <t xml:space="preserve">   Rental of units</t>
  </si>
  <si>
    <t>Insert your scenario analysis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</si>
</sst>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0.0%"/>
    <numFmt numFmtId="166" formatCode="&quot;$&quot;#,##0.00_);[Red]\-&quot;$&quot;#,##0.00"/>
  </numFmts>
  <fonts count="6" x14ac:knownFonts="1"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 (Body)"/>
    </font>
    <font>
      <sz val="10"/>
      <color theme="1"/>
      <name val="Calibri (Body)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4" fillId="0" borderId="0" xfId="0" applyFont="1"/>
    <xf numFmtId="9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166" fontId="5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990600</xdr:colOff>
      <xdr:row>30</xdr:row>
      <xdr:rowOff>38100</xdr:rowOff>
    </xdr:from>
    <xdr:to>
      <xdr:col>1</xdr:col>
      <xdr:colOff>990600</xdr:colOff>
      <xdr:row>32</xdr:row>
      <xdr:rowOff>152400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1816100" y="6400800"/>
          <a:ext cx="0" cy="520700"/>
        </a:xfrm>
        <a:prstGeom prst="straightConnector1">
          <a:avLst/>
        </a:prstGeom>
        <a:ln>
          <a:solidFill>
            <a:schemeClr val="accent2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A9383-9445-1746-A386-E29EEF533B8E}">
  <sheetPr codeName="Sheet1"/>
  <dimension ref="B2:K30"/>
  <sheetViews>
    <sheetView tabSelected="1" topLeftCell="A6" workbookViewId="0">
      <selection activeCell="D26" sqref="D26"/>
    </sheetView>
  </sheetViews>
  <sheetFormatPr baseColWidth="10" defaultRowHeight="16" x14ac:dyDescent="0.2"/>
  <cols>
    <col min="2" max="2" width="28.5" customWidth="1"/>
  </cols>
  <sheetData>
    <row r="2" spans="2:11" x14ac:dyDescent="0.2">
      <c r="B2" s="4" t="s">
        <v>0</v>
      </c>
    </row>
    <row r="4" spans="2:11" x14ac:dyDescent="0.2">
      <c r="B4" t="s">
        <v>13</v>
      </c>
      <c r="C4" s="10">
        <v>1.2983796596527101E-2</v>
      </c>
    </row>
    <row r="5" spans="2:11" x14ac:dyDescent="0.2">
      <c r="B5" t="s">
        <v>2</v>
      </c>
      <c r="C5" s="10">
        <v>4.2905575633049017E-2</v>
      </c>
    </row>
    <row r="6" spans="2:11" x14ac:dyDescent="0.2">
      <c r="B6" t="s">
        <v>1</v>
      </c>
      <c r="C6" s="10">
        <v>4.5827973484992984E-2</v>
      </c>
    </row>
    <row r="7" spans="2:11" x14ac:dyDescent="0.2">
      <c r="B7" t="s">
        <v>3</v>
      </c>
      <c r="C7" s="10">
        <v>2.0336893796920778E-2</v>
      </c>
    </row>
    <row r="8" spans="2:11" x14ac:dyDescent="0.2">
      <c r="B8" t="s">
        <v>4</v>
      </c>
      <c r="C8" s="10">
        <v>1.7874631881713867E-2</v>
      </c>
    </row>
    <row r="9" spans="2:11" x14ac:dyDescent="0.2">
      <c r="B9" t="s">
        <v>6</v>
      </c>
      <c r="C9" s="10">
        <v>0.5</v>
      </c>
    </row>
    <row r="10" spans="2:11" x14ac:dyDescent="0.2">
      <c r="C10" s="6"/>
    </row>
    <row r="11" spans="2:11" x14ac:dyDescent="0.2">
      <c r="C11" s="2" t="s">
        <v>5</v>
      </c>
    </row>
    <row r="12" spans="2:11" x14ac:dyDescent="0.2">
      <c r="B12" s="4" t="s">
        <v>11</v>
      </c>
      <c r="C12" s="3">
        <v>2022</v>
      </c>
      <c r="D12" s="3">
        <v>2023</v>
      </c>
      <c r="E12" s="3">
        <v>2024</v>
      </c>
      <c r="F12" s="3">
        <v>2025</v>
      </c>
      <c r="G12" s="3">
        <v>2026</v>
      </c>
      <c r="H12" s="3">
        <v>2027</v>
      </c>
      <c r="I12" s="3">
        <v>2028</v>
      </c>
      <c r="J12" s="3">
        <v>2029</v>
      </c>
      <c r="K12" s="3">
        <v>2030</v>
      </c>
    </row>
    <row r="13" spans="2:11" x14ac:dyDescent="0.2">
      <c r="B13" s="5" t="s">
        <v>12</v>
      </c>
    </row>
    <row r="14" spans="2:11" x14ac:dyDescent="0.2">
      <c r="B14" s="5"/>
    </row>
    <row r="15" spans="2:11" x14ac:dyDescent="0.2">
      <c r="B15" s="1" t="s">
        <v>7</v>
      </c>
    </row>
    <row r="16" spans="2:11" x14ac:dyDescent="0.2">
      <c r="B16" t="s">
        <v>9</v>
      </c>
      <c r="C16" s="11">
        <v>-22.219985961914062</v>
      </c>
      <c r="D16" s="11">
        <f>C16*(1+$C$6)</f>
        <v>-23.238282889413576</v>
      </c>
      <c r="E16" s="11">
        <f>D16*(1+$C$6)</f>
        <v>-24.303246301506384</v>
      </c>
      <c r="F16" s="11">
        <f>E16*(1+$C$6)</f>
        <v>-25.41701482861107</v>
      </c>
      <c r="G16" s="11">
        <v>0</v>
      </c>
      <c r="H16" s="11">
        <v>0</v>
      </c>
      <c r="I16" s="11">
        <v>0</v>
      </c>
      <c r="J16" s="11">
        <v>0</v>
      </c>
      <c r="K16" s="11">
        <v>0</v>
      </c>
    </row>
    <row r="17" spans="2:11" x14ac:dyDescent="0.2">
      <c r="B17" t="s">
        <v>10</v>
      </c>
      <c r="C17" s="11">
        <f>C16*$C$9</f>
        <v>-11.109992980957031</v>
      </c>
      <c r="D17" s="11">
        <f t="shared" ref="D17:K17" si="0">D16*$C$9</f>
        <v>-11.619141444706788</v>
      </c>
      <c r="E17" s="11">
        <f t="shared" si="0"/>
        <v>-12.151623150753192</v>
      </c>
      <c r="F17" s="11">
        <f t="shared" si="0"/>
        <v>-12.708507414305535</v>
      </c>
      <c r="G17" s="11">
        <f t="shared" si="0"/>
        <v>0</v>
      </c>
      <c r="H17" s="11">
        <f t="shared" si="0"/>
        <v>0</v>
      </c>
      <c r="I17" s="11">
        <f t="shared" si="0"/>
        <v>0</v>
      </c>
      <c r="J17" s="11">
        <f t="shared" si="0"/>
        <v>0</v>
      </c>
      <c r="K17" s="11">
        <f t="shared" si="0"/>
        <v>0</v>
      </c>
    </row>
    <row r="18" spans="2:11" x14ac:dyDescent="0.2">
      <c r="B18" t="s">
        <v>8</v>
      </c>
      <c r="C18" s="7"/>
      <c r="D18" s="7"/>
      <c r="E18" s="7"/>
      <c r="F18" s="7"/>
      <c r="G18" s="7"/>
      <c r="H18" s="7"/>
      <c r="I18" s="7"/>
      <c r="J18" s="7"/>
      <c r="K18" s="7"/>
    </row>
    <row r="19" spans="2:11" x14ac:dyDescent="0.2">
      <c r="B19" t="s">
        <v>16</v>
      </c>
      <c r="C19" s="7">
        <v>0</v>
      </c>
      <c r="D19" s="7">
        <v>0</v>
      </c>
      <c r="E19" s="7">
        <v>0</v>
      </c>
      <c r="F19" s="7">
        <v>0</v>
      </c>
      <c r="G19" s="7">
        <v>60.771827697753906</v>
      </c>
      <c r="H19" s="7">
        <v>0</v>
      </c>
      <c r="I19" s="7">
        <v>0</v>
      </c>
      <c r="J19" s="7">
        <v>0</v>
      </c>
      <c r="K19" s="7">
        <f>G19*(1+$C$5)^4</f>
        <v>71.892279667425399</v>
      </c>
    </row>
    <row r="20" spans="2:11" x14ac:dyDescent="0.2">
      <c r="B20" t="s">
        <v>17</v>
      </c>
      <c r="C20" s="7">
        <v>0</v>
      </c>
      <c r="D20" s="7">
        <v>7.3831572532653809</v>
      </c>
      <c r="E20" s="7">
        <f t="shared" ref="E20:K20" si="1">D20*(1+$C$7)*(1-$C$8)</f>
        <v>7.3986526355388165</v>
      </c>
      <c r="F20" s="7">
        <f t="shared" si="1"/>
        <v>7.4141805387058977</v>
      </c>
      <c r="G20" s="7">
        <f t="shared" si="1"/>
        <v>7.4297410310197654</v>
      </c>
      <c r="H20" s="7">
        <f t="shared" si="1"/>
        <v>7.4453341808768077</v>
      </c>
      <c r="I20" s="7">
        <f t="shared" si="1"/>
        <v>7.4609600568169601</v>
      </c>
      <c r="J20" s="7">
        <f t="shared" si="1"/>
        <v>7.4766187275240048</v>
      </c>
      <c r="K20" s="7">
        <f t="shared" si="1"/>
        <v>7.4923102618258737</v>
      </c>
    </row>
    <row r="22" spans="2:11" x14ac:dyDescent="0.2">
      <c r="B22" t="s">
        <v>14</v>
      </c>
      <c r="C22" s="11">
        <f>SUM(C16:C20)</f>
        <v>-33.329978942871094</v>
      </c>
      <c r="D22" s="11">
        <f t="shared" ref="D22:K22" si="2">SUM(D16:D20)</f>
        <v>-27.474267080854986</v>
      </c>
      <c r="E22" s="11">
        <f t="shared" si="2"/>
        <v>-29.056216816720756</v>
      </c>
      <c r="F22" s="11">
        <f t="shared" si="2"/>
        <v>-30.711341704210703</v>
      </c>
      <c r="G22" s="11">
        <f t="shared" si="2"/>
        <v>68.201568728773665</v>
      </c>
      <c r="H22" s="11">
        <f t="shared" si="2"/>
        <v>7.4453341808768077</v>
      </c>
      <c r="I22" s="11">
        <f t="shared" si="2"/>
        <v>7.4609600568169601</v>
      </c>
      <c r="J22" s="11">
        <f t="shared" si="2"/>
        <v>7.4766187275240048</v>
      </c>
      <c r="K22" s="11">
        <f t="shared" si="2"/>
        <v>79.384589929251277</v>
      </c>
    </row>
    <row r="24" spans="2:11" ht="22" customHeight="1" x14ac:dyDescent="0.2">
      <c r="B24" s="8" t="s">
        <v>15</v>
      </c>
    </row>
    <row r="25" spans="2:11" ht="19" customHeight="1" x14ac:dyDescent="0.2">
      <c r="B25" s="9" t="s">
        <v>12</v>
      </c>
    </row>
    <row r="26" spans="2:11" ht="28" customHeight="1" x14ac:dyDescent="0.2">
      <c r="B26" s="12">
        <f>NPV(C4,C22:K22)</f>
        <v>38.27793103603053</v>
      </c>
    </row>
    <row r="30" spans="2:11" x14ac:dyDescent="0.2">
      <c r="B30" t="s">
        <v>18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Badarinza</dc:creator>
  <cp:lastModifiedBy>Cristian Badarinza</cp:lastModifiedBy>
  <dcterms:created xsi:type="dcterms:W3CDTF">2021-09-04T06:51:56Z</dcterms:created>
  <dcterms:modified xsi:type="dcterms:W3CDTF">2022-09-07T14:59:35Z</dcterms:modified>
</cp:coreProperties>
</file>