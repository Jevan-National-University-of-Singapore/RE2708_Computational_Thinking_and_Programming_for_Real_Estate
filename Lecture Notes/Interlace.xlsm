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zcrba\Dropbox\Teaching\RE2708\Lecture Notes\"/>
    </mc:Choice>
  </mc:AlternateContent>
  <xr:revisionPtr revIDLastSave="0" documentId="13_ncr:1_{9DA3745A-112B-4F9C-80BB-AF10900AED08}" xr6:coauthVersionLast="36" xr6:coauthVersionMax="36" xr10:uidLastSave="{00000000-0000-0000-0000-000000000000}"/>
  <bookViews>
    <workbookView xWindow="0" yWindow="465" windowWidth="28800" windowHeight="17535" tabRatio="500" xr2:uid="{00000000-000D-0000-FFFF-FFFF00000000}"/>
  </bookViews>
  <sheets>
    <sheet name="Model" sheetId="2" r:id="rId1"/>
    <sheet name="Scenarios" sheetId="3" r:id="rId2"/>
    <sheet name="Monte Carlo" sheetId="4" r:id="rId3"/>
  </sheets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2" l="1"/>
  <c r="D16" i="2" s="1"/>
  <c r="F24" i="2" s="1"/>
  <c r="J23" i="2"/>
  <c r="D8" i="2"/>
  <c r="D14" i="2"/>
  <c r="D24" i="2"/>
  <c r="D25" i="2" s="1"/>
  <c r="E24" i="2" l="1"/>
  <c r="H24" i="2"/>
  <c r="G24" i="2"/>
  <c r="I24" i="2"/>
  <c r="J24" i="2"/>
  <c r="G23" i="2"/>
  <c r="H23" i="2"/>
  <c r="I23" i="2"/>
  <c r="F23" i="2"/>
  <c r="E23" i="2"/>
  <c r="J25" i="2" l="1"/>
  <c r="G25" i="2"/>
  <c r="H25" i="2"/>
  <c r="I25" i="2"/>
  <c r="E25" i="2"/>
  <c r="F25" i="2"/>
  <c r="D27" i="2" l="1"/>
</calcChain>
</file>

<file path=xl/sharedStrings.xml><?xml version="1.0" encoding="utf-8"?>
<sst xmlns="http://schemas.openxmlformats.org/spreadsheetml/2006/main" count="49" uniqueCount="24">
  <si>
    <t>THE INTERLACE</t>
  </si>
  <si>
    <t>Mortgage downpayment</t>
  </si>
  <si>
    <t>Rental period</t>
  </si>
  <si>
    <t>Income</t>
  </si>
  <si>
    <t>Expense</t>
  </si>
  <si>
    <t>Yearly rent</t>
  </si>
  <si>
    <t>Monthly rent</t>
  </si>
  <si>
    <t>Property value</t>
  </si>
  <si>
    <t>Net cash flow</t>
  </si>
  <si>
    <t>Internal rate of return (IRR)</t>
  </si>
  <si>
    <t>Purchase of property</t>
  </si>
  <si>
    <t>Sale of property</t>
  </si>
  <si>
    <t>Yearly growth rate in house prices</t>
  </si>
  <si>
    <t>Case Study</t>
  </si>
  <si>
    <t>SGD</t>
  </si>
  <si>
    <t>%</t>
  </si>
  <si>
    <t>Mortgage amount</t>
  </si>
  <si>
    <t>% per year</t>
  </si>
  <si>
    <t>Interest rate</t>
  </si>
  <si>
    <t>Yearly payment of interest</t>
  </si>
  <si>
    <t>Scenarios</t>
  </si>
  <si>
    <t>Max</t>
  </si>
  <si>
    <t>Average</t>
  </si>
  <si>
    <t>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</si>
</sst>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0.0%"/>
  </numFmts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8"/>
      <name val="Calibri"/>
      <family val="2"/>
      <scheme val="minor"/>
    </font>
    <font>
      <i/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548235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D9D9D9"/>
        <bgColor rgb="FF000000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1" fillId="2" borderId="0" xfId="0" applyFont="1" applyFill="1"/>
    <xf numFmtId="0" fontId="1" fillId="2" borderId="1" xfId="0" applyFont="1" applyFill="1" applyBorder="1"/>
    <xf numFmtId="0" fontId="2" fillId="2" borderId="1" xfId="0" applyFont="1" applyFill="1" applyBorder="1" applyAlignment="1">
      <alignment horizontal="center"/>
    </xf>
    <xf numFmtId="0" fontId="0" fillId="2" borderId="1" xfId="0" applyFill="1" applyBorder="1"/>
    <xf numFmtId="0" fontId="3" fillId="2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center" vertical="center"/>
    </xf>
    <xf numFmtId="164" fontId="5" fillId="4" borderId="1" xfId="0" applyNumberFormat="1" applyFont="1" applyFill="1" applyBorder="1" applyAlignment="1">
      <alignment horizontal="center"/>
    </xf>
    <xf numFmtId="0" fontId="0" fillId="2" borderId="1" xfId="0" applyFont="1" applyFill="1" applyBorder="1"/>
    <xf numFmtId="9" fontId="5" fillId="4" borderId="1" xfId="0" applyNumberFormat="1" applyFont="1" applyFill="1" applyBorder="1" applyAlignment="1">
      <alignment horizontal="center"/>
    </xf>
    <xf numFmtId="164" fontId="4" fillId="4" borderId="1" xfId="0" applyNumberFormat="1" applyFont="1" applyFill="1" applyBorder="1" applyAlignment="1">
      <alignment horizontal="center"/>
    </xf>
    <xf numFmtId="10" fontId="5" fillId="4" borderId="1" xfId="0" applyNumberFormat="1" applyFont="1" applyFill="1" applyBorder="1" applyAlignment="1">
      <alignment horizontal="center"/>
    </xf>
    <xf numFmtId="0" fontId="4" fillId="3" borderId="1" xfId="0" applyFont="1" applyFill="1" applyBorder="1"/>
    <xf numFmtId="0" fontId="6" fillId="3" borderId="1" xfId="0" applyFont="1" applyFill="1" applyBorder="1" applyAlignment="1">
      <alignment horizontal="center"/>
    </xf>
    <xf numFmtId="164" fontId="4" fillId="4" borderId="1" xfId="0" applyNumberFormat="1" applyFont="1" applyFill="1" applyBorder="1" applyAlignment="1">
      <alignment horizontal="center" wrapText="1"/>
    </xf>
    <xf numFmtId="164" fontId="4" fillId="4" borderId="1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left" vertical="center"/>
    </xf>
    <xf numFmtId="164" fontId="7" fillId="4" borderId="1" xfId="0" applyNumberFormat="1" applyFont="1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165" fontId="8" fillId="4" borderId="1" xfId="0" applyNumberFormat="1" applyFont="1" applyFill="1" applyBorder="1" applyAlignment="1">
      <alignment horizontal="center" vertical="center"/>
    </xf>
    <xf numFmtId="165" fontId="5" fillId="4" borderId="1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65" fontId="10" fillId="4" borderId="1" xfId="0" applyNumberFormat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Scenario Analysis: Evolution</a:t>
            </a:r>
            <a:r>
              <a:rPr lang="en-US" baseline="0"/>
              <a:t> of Prices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numRef>
              <c:f>Scenarios!$D$4:$D$14</c:f>
              <c:numCache>
                <c:formatCode>0.0%</c:formatCode>
                <c:ptCount val="11"/>
                <c:pt idx="0">
                  <c:v>-0.04</c:v>
                </c:pt>
                <c:pt idx="1">
                  <c:v>-0.03</c:v>
                </c:pt>
                <c:pt idx="2">
                  <c:v>-0.02</c:v>
                </c:pt>
                <c:pt idx="3">
                  <c:v>-0.01</c:v>
                </c:pt>
                <c:pt idx="4">
                  <c:v>0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</c:numCache>
            </c:numRef>
          </c:cat>
          <c:val>
            <c:numRef>
              <c:f>Scenarios!$H$4:$H$14</c:f>
              <c:numCache>
                <c:formatCode>0.0%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A2-DA48-8967-98A0280AC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0095583"/>
        <c:axId val="1797843951"/>
      </c:lineChart>
      <c:catAx>
        <c:axId val="17300955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Yearly growth rate in house prices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7843951"/>
        <c:crosses val="autoZero"/>
        <c:auto val="1"/>
        <c:lblAlgn val="ctr"/>
        <c:lblOffset val="100"/>
        <c:noMultiLvlLbl val="0"/>
      </c:catAx>
      <c:valAx>
        <c:axId val="1797843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Investment 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095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Scenario Analysis: Evolution</a:t>
            </a:r>
            <a:r>
              <a:rPr lang="en-US" baseline="0"/>
              <a:t> of Interest Rates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numRef>
              <c:f>Scenarios!$D$18:$D$34</c:f>
              <c:numCache>
                <c:formatCode>0.00%</c:formatCode>
                <c:ptCount val="17"/>
                <c:pt idx="0">
                  <c:v>0</c:v>
                </c:pt>
                <c:pt idx="1">
                  <c:v>2.5000000000000001E-3</c:v>
                </c:pt>
                <c:pt idx="2">
                  <c:v>5.0000000000000001E-3</c:v>
                </c:pt>
                <c:pt idx="3">
                  <c:v>7.4999999999999997E-3</c:v>
                </c:pt>
                <c:pt idx="4">
                  <c:v>0.01</c:v>
                </c:pt>
                <c:pt idx="5">
                  <c:v>1.2500000000000001E-2</c:v>
                </c:pt>
                <c:pt idx="6">
                  <c:v>1.4999999999999999E-2</c:v>
                </c:pt>
                <c:pt idx="7">
                  <c:v>1.7500000000000002E-2</c:v>
                </c:pt>
                <c:pt idx="8">
                  <c:v>0.02</c:v>
                </c:pt>
                <c:pt idx="9">
                  <c:v>2.2499999999999999E-2</c:v>
                </c:pt>
                <c:pt idx="10">
                  <c:v>2.5000000000000001E-2</c:v>
                </c:pt>
                <c:pt idx="11">
                  <c:v>2.75E-2</c:v>
                </c:pt>
                <c:pt idx="12">
                  <c:v>0.03</c:v>
                </c:pt>
                <c:pt idx="13">
                  <c:v>3.2500000000000001E-2</c:v>
                </c:pt>
                <c:pt idx="14">
                  <c:v>3.5000000000000003E-2</c:v>
                </c:pt>
                <c:pt idx="15">
                  <c:v>3.7499999999999999E-2</c:v>
                </c:pt>
                <c:pt idx="16">
                  <c:v>0.04</c:v>
                </c:pt>
              </c:numCache>
            </c:numRef>
          </c:cat>
          <c:val>
            <c:numRef>
              <c:f>Scenarios!$H$18:$H$34</c:f>
              <c:numCache>
                <c:formatCode>0.0%</c:formatCode>
                <c:ptCount val="1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E-A84B-B8D6-8FF21B266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0095583"/>
        <c:axId val="1797843951"/>
      </c:lineChart>
      <c:catAx>
        <c:axId val="17300955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Interest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7843951"/>
        <c:crosses val="autoZero"/>
        <c:auto val="1"/>
        <c:lblAlgn val="ctr"/>
        <c:lblOffset val="100"/>
        <c:noMultiLvlLbl val="0"/>
      </c:catAx>
      <c:valAx>
        <c:axId val="1797843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Investment 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095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463346</xdr:colOff>
      <xdr:row>3</xdr:row>
      <xdr:rowOff>15848</xdr:rowOff>
    </xdr:from>
    <xdr:to>
      <xdr:col>14</xdr:col>
      <xdr:colOff>723900</xdr:colOff>
      <xdr:row>17</xdr:row>
      <xdr:rowOff>138103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44246" y="625448"/>
          <a:ext cx="4057854" cy="2690796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10</xdr:col>
      <xdr:colOff>467950</xdr:colOff>
      <xdr:row>28</xdr:row>
      <xdr:rowOff>54898</xdr:rowOff>
    </xdr:from>
    <xdr:to>
      <xdr:col>14</xdr:col>
      <xdr:colOff>751197</xdr:colOff>
      <xdr:row>34</xdr:row>
      <xdr:rowOff>33595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44617" y="5694790"/>
          <a:ext cx="4079591" cy="120773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10</xdr:col>
      <xdr:colOff>469515</xdr:colOff>
      <xdr:row>18</xdr:row>
      <xdr:rowOff>148303</xdr:rowOff>
    </xdr:from>
    <xdr:to>
      <xdr:col>14</xdr:col>
      <xdr:colOff>732447</xdr:colOff>
      <xdr:row>27</xdr:row>
      <xdr:rowOff>34288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46182" y="3562281"/>
          <a:ext cx="4059276" cy="190706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10</xdr:col>
      <xdr:colOff>464479</xdr:colOff>
      <xdr:row>35</xdr:row>
      <xdr:rowOff>50489</xdr:rowOff>
    </xdr:from>
    <xdr:to>
      <xdr:col>13</xdr:col>
      <xdr:colOff>51686</xdr:colOff>
      <xdr:row>52</xdr:row>
      <xdr:rowOff>73963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41146" y="7124252"/>
          <a:ext cx="2468605" cy="350573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10</xdr:col>
      <xdr:colOff>527392</xdr:colOff>
      <xdr:row>39</xdr:row>
      <xdr:rowOff>197601</xdr:rowOff>
    </xdr:from>
    <xdr:to>
      <xdr:col>11</xdr:col>
      <xdr:colOff>321322</xdr:colOff>
      <xdr:row>41</xdr:row>
      <xdr:rowOff>74696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04059" y="8090719"/>
          <a:ext cx="872747" cy="286773"/>
        </a:xfrm>
        <a:prstGeom prst="rect">
          <a:avLst/>
        </a:prstGeom>
      </xdr:spPr>
    </xdr:pic>
    <xdr:clientData/>
  </xdr:twoCellAnchor>
  <xdr:oneCellAnchor>
    <xdr:from>
      <xdr:col>0</xdr:col>
      <xdr:colOff>614516</xdr:colOff>
      <xdr:row>3</xdr:row>
      <xdr:rowOff>71694</xdr:rowOff>
    </xdr:from>
    <xdr:ext cx="1493742" cy="436786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614516" y="686210"/>
          <a:ext cx="1493742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100"/>
            <a:t>Assumptions</a:t>
          </a:r>
        </a:p>
        <a:p>
          <a:pPr algn="ctr"/>
          <a:r>
            <a:rPr lang="en-US" sz="1100"/>
            <a:t>(indicated</a:t>
          </a:r>
          <a:r>
            <a:rPr lang="en-US" sz="1100" baseline="0"/>
            <a:t> in </a:t>
          </a:r>
          <a:r>
            <a:rPr lang="en-US" sz="1100" b="1">
              <a:solidFill>
                <a:schemeClr val="accent5"/>
              </a:solidFill>
            </a:rPr>
            <a:t>blue</a:t>
          </a:r>
          <a:r>
            <a:rPr lang="en-US" sz="1100"/>
            <a:t> font)</a:t>
          </a:r>
        </a:p>
      </xdr:txBody>
    </xdr:sp>
    <xdr:clientData/>
  </xdr:oneCellAnchor>
  <xdr:twoCellAnchor>
    <xdr:from>
      <xdr:col>0</xdr:col>
      <xdr:colOff>704093</xdr:colOff>
      <xdr:row>5</xdr:row>
      <xdr:rowOff>92125</xdr:rowOff>
    </xdr:from>
    <xdr:to>
      <xdr:col>0</xdr:col>
      <xdr:colOff>2359041</xdr:colOff>
      <xdr:row>5</xdr:row>
      <xdr:rowOff>92126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704093" y="1112073"/>
          <a:ext cx="1654948" cy="1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574576</xdr:colOff>
      <xdr:row>20</xdr:row>
      <xdr:rowOff>230925</xdr:rowOff>
    </xdr:from>
    <xdr:ext cx="1549656" cy="436786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74576" y="4424321"/>
          <a:ext cx="154965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100"/>
            <a:t>Calculations</a:t>
          </a:r>
        </a:p>
        <a:p>
          <a:pPr algn="ctr"/>
          <a:r>
            <a:rPr lang="en-US" sz="1100"/>
            <a:t>(indicated</a:t>
          </a:r>
          <a:r>
            <a:rPr lang="en-US" sz="1100" baseline="0"/>
            <a:t> in </a:t>
          </a:r>
          <a:r>
            <a:rPr lang="en-US" sz="1100" b="1">
              <a:solidFill>
                <a:schemeClr val="tx1"/>
              </a:solidFill>
            </a:rPr>
            <a:t>black</a:t>
          </a:r>
          <a:r>
            <a:rPr lang="en-US" sz="1100"/>
            <a:t> font)</a:t>
          </a:r>
        </a:p>
      </xdr:txBody>
    </xdr:sp>
    <xdr:clientData/>
  </xdr:oneCellAnchor>
  <xdr:twoCellAnchor>
    <xdr:from>
      <xdr:col>0</xdr:col>
      <xdr:colOff>692110</xdr:colOff>
      <xdr:row>22</xdr:row>
      <xdr:rowOff>71638</xdr:rowOff>
    </xdr:from>
    <xdr:to>
      <xdr:col>0</xdr:col>
      <xdr:colOff>2347058</xdr:colOff>
      <xdr:row>22</xdr:row>
      <xdr:rowOff>71639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692110" y="4852110"/>
          <a:ext cx="1654948" cy="1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108238</xdr:colOff>
      <xdr:row>21</xdr:row>
      <xdr:rowOff>54119</xdr:rowOff>
    </xdr:from>
    <xdr:to>
      <xdr:col>14</xdr:col>
      <xdr:colOff>432955</xdr:colOff>
      <xdr:row>23</xdr:row>
      <xdr:rowOff>54119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F0A4D93-0771-4F6B-A410-E7B777480CC1}"/>
            </a:ext>
          </a:extLst>
        </xdr:cNvPr>
        <xdr:cNvSpPr/>
      </xdr:nvSpPr>
      <xdr:spPr>
        <a:xfrm>
          <a:off x="15283295" y="4048125"/>
          <a:ext cx="1233921" cy="389659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43113</xdr:colOff>
      <xdr:row>3</xdr:row>
      <xdr:rowOff>1</xdr:rowOff>
    </xdr:from>
    <xdr:to>
      <xdr:col>14</xdr:col>
      <xdr:colOff>775369</xdr:colOff>
      <xdr:row>17</xdr:row>
      <xdr:rowOff>147053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27912</xdr:colOff>
      <xdr:row>19</xdr:row>
      <xdr:rowOff>5140</xdr:rowOff>
    </xdr:from>
    <xdr:to>
      <xdr:col>14</xdr:col>
      <xdr:colOff>776544</xdr:colOff>
      <xdr:row>33</xdr:row>
      <xdr:rowOff>134270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9524</xdr:colOff>
          <xdr:row>4</xdr:row>
          <xdr:rowOff>114300</xdr:rowOff>
        </xdr:from>
        <xdr:to>
          <xdr:col>1</xdr:col>
          <xdr:colOff>2247899</xdr:colOff>
          <xdr:row>6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set of random scenarios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J28"/>
  <sheetViews>
    <sheetView tabSelected="1" zoomScale="88" workbookViewId="0">
      <selection activeCell="D34" sqref="D34"/>
    </sheetView>
  </sheetViews>
  <sheetFormatPr defaultColWidth="10.875" defaultRowHeight="15.75" x14ac:dyDescent="0.25"/>
  <cols>
    <col min="1" max="1" width="31.625" style="5" customWidth="1"/>
    <col min="2" max="2" width="34.5" style="5" customWidth="1"/>
    <col min="3" max="3" width="10.5" style="6" bestFit="1" customWidth="1"/>
    <col min="4" max="4" width="13.875" style="5" customWidth="1"/>
    <col min="5" max="5" width="11.625" style="5" customWidth="1"/>
    <col min="6" max="6" width="11.375" style="5" bestFit="1" customWidth="1"/>
    <col min="7" max="7" width="11.625" style="5" customWidth="1"/>
    <col min="8" max="8" width="11.875" style="5" customWidth="1"/>
    <col min="9" max="9" width="10.875" style="5"/>
    <col min="10" max="10" width="13.375" style="5" customWidth="1"/>
    <col min="11" max="11" width="14.125" style="5" customWidth="1"/>
    <col min="12" max="12" width="11.625" style="5" customWidth="1"/>
    <col min="13" max="14" width="12" style="5" customWidth="1"/>
    <col min="15" max="16384" width="10.875" style="5"/>
  </cols>
  <sheetData>
    <row r="3" spans="2:10" x14ac:dyDescent="0.25">
      <c r="B3" s="3" t="s">
        <v>13</v>
      </c>
      <c r="C3" s="4"/>
    </row>
    <row r="4" spans="2:10" x14ac:dyDescent="0.25">
      <c r="B4" s="5" t="s">
        <v>0</v>
      </c>
    </row>
    <row r="6" spans="2:10" x14ac:dyDescent="0.25">
      <c r="B6" s="7" t="s">
        <v>7</v>
      </c>
      <c r="C6" s="8" t="s">
        <v>14</v>
      </c>
      <c r="D6" s="9">
        <v>3000000</v>
      </c>
      <c r="E6" s="10"/>
      <c r="F6" s="10"/>
      <c r="G6" s="10"/>
      <c r="H6" s="10"/>
      <c r="I6" s="10"/>
      <c r="J6" s="10"/>
    </row>
    <row r="7" spans="2:10" x14ac:dyDescent="0.25">
      <c r="B7" s="7" t="s">
        <v>1</v>
      </c>
      <c r="C7" s="8" t="s">
        <v>15</v>
      </c>
      <c r="D7" s="11">
        <v>0.2</v>
      </c>
      <c r="E7" s="10"/>
      <c r="F7" s="10"/>
      <c r="G7" s="10"/>
      <c r="H7" s="10"/>
      <c r="I7" s="10"/>
      <c r="J7" s="10"/>
    </row>
    <row r="8" spans="2:10" x14ac:dyDescent="0.25">
      <c r="B8" s="7"/>
      <c r="C8" s="8" t="s">
        <v>14</v>
      </c>
      <c r="D8" s="12">
        <f>D6*D7</f>
        <v>600000</v>
      </c>
      <c r="E8" s="10"/>
      <c r="F8" s="10"/>
      <c r="G8" s="10"/>
      <c r="H8" s="10"/>
      <c r="I8" s="10"/>
      <c r="J8" s="10"/>
    </row>
    <row r="9" spans="2:10" x14ac:dyDescent="0.25">
      <c r="B9" s="7" t="s">
        <v>16</v>
      </c>
      <c r="C9" s="8" t="s">
        <v>14</v>
      </c>
      <c r="D9" s="12">
        <f>-(1-D7)*D6</f>
        <v>-2400000</v>
      </c>
      <c r="E9" s="10"/>
      <c r="F9" s="28"/>
      <c r="G9" s="29"/>
      <c r="H9" s="29"/>
      <c r="I9" s="29"/>
      <c r="J9" s="10"/>
    </row>
    <row r="10" spans="2:10" ht="15.95" customHeight="1" x14ac:dyDescent="0.25">
      <c r="B10" s="10"/>
      <c r="D10" s="10"/>
      <c r="E10" s="10"/>
      <c r="F10" s="29"/>
      <c r="G10" s="29"/>
      <c r="H10" s="29"/>
      <c r="I10" s="29"/>
      <c r="J10" s="10"/>
    </row>
    <row r="11" spans="2:10" x14ac:dyDescent="0.25">
      <c r="B11" s="7" t="s">
        <v>18</v>
      </c>
      <c r="C11" s="8" t="s">
        <v>17</v>
      </c>
      <c r="D11" s="13">
        <v>1.6799999999999999E-2</v>
      </c>
      <c r="E11" s="10"/>
      <c r="F11" s="30"/>
      <c r="G11" s="30"/>
      <c r="H11" s="30"/>
      <c r="I11" s="30"/>
      <c r="J11" s="10"/>
    </row>
    <row r="12" spans="2:10" ht="15.95" customHeight="1" x14ac:dyDescent="0.25">
      <c r="B12" s="10"/>
      <c r="D12" s="10"/>
      <c r="E12" s="10"/>
      <c r="F12" s="10"/>
      <c r="G12" s="10"/>
      <c r="H12" s="10"/>
      <c r="I12" s="10"/>
      <c r="J12" s="10"/>
    </row>
    <row r="13" spans="2:10" x14ac:dyDescent="0.25">
      <c r="B13" s="7" t="s">
        <v>6</v>
      </c>
      <c r="C13" s="8" t="s">
        <v>14</v>
      </c>
      <c r="D13" s="9">
        <v>5700</v>
      </c>
      <c r="E13" s="10"/>
      <c r="F13" s="10"/>
      <c r="G13" s="10"/>
      <c r="H13" s="10"/>
      <c r="I13" s="10"/>
      <c r="J13" s="10"/>
    </row>
    <row r="14" spans="2:10" x14ac:dyDescent="0.25">
      <c r="B14" s="7" t="s">
        <v>5</v>
      </c>
      <c r="C14" s="8" t="s">
        <v>14</v>
      </c>
      <c r="D14" s="12">
        <f>D13*12</f>
        <v>68400</v>
      </c>
      <c r="E14" s="10"/>
      <c r="F14" s="10"/>
      <c r="G14" s="10"/>
      <c r="H14" s="10"/>
      <c r="I14" s="10"/>
      <c r="J14" s="10"/>
    </row>
    <row r="15" spans="2:10" ht="5.0999999999999996" customHeight="1" x14ac:dyDescent="0.25">
      <c r="B15" s="10"/>
      <c r="D15" s="10"/>
      <c r="E15" s="10"/>
      <c r="F15" s="10"/>
      <c r="G15" s="10"/>
      <c r="H15" s="10"/>
      <c r="I15" s="10"/>
      <c r="J15" s="10"/>
    </row>
    <row r="16" spans="2:10" x14ac:dyDescent="0.25">
      <c r="B16" s="7" t="s">
        <v>19</v>
      </c>
      <c r="C16" s="8" t="s">
        <v>14</v>
      </c>
      <c r="D16" s="12">
        <f>D11*D9</f>
        <v>-40320</v>
      </c>
      <c r="E16" s="10"/>
      <c r="F16" s="10"/>
      <c r="G16" s="10"/>
      <c r="H16" s="10"/>
      <c r="I16" s="10"/>
      <c r="J16" s="10"/>
    </row>
    <row r="17" spans="2:10" ht="5.0999999999999996" customHeight="1" x14ac:dyDescent="0.25">
      <c r="B17" s="10"/>
      <c r="D17" s="10"/>
      <c r="E17" s="10"/>
      <c r="F17" s="10"/>
      <c r="G17" s="10"/>
      <c r="H17" s="10"/>
      <c r="I17" s="10"/>
      <c r="J17" s="10"/>
    </row>
    <row r="18" spans="2:10" x14ac:dyDescent="0.25">
      <c r="B18" s="7" t="s">
        <v>12</v>
      </c>
      <c r="C18" s="8" t="s">
        <v>15</v>
      </c>
      <c r="D18" s="13">
        <v>0.03</v>
      </c>
      <c r="E18" s="10"/>
      <c r="F18" s="10"/>
      <c r="G18" s="10"/>
      <c r="H18" s="10"/>
      <c r="I18" s="10"/>
      <c r="J18" s="10"/>
    </row>
    <row r="19" spans="2:10" x14ac:dyDescent="0.25">
      <c r="B19" s="10"/>
      <c r="D19" s="10"/>
      <c r="E19" s="10"/>
      <c r="F19" s="10"/>
      <c r="G19" s="10"/>
      <c r="H19" s="10"/>
      <c r="I19" s="10"/>
      <c r="J19" s="10"/>
    </row>
    <row r="20" spans="2:10" x14ac:dyDescent="0.25">
      <c r="B20" s="10"/>
      <c r="D20" s="10"/>
      <c r="E20" s="10"/>
      <c r="F20" s="10"/>
      <c r="G20" s="10"/>
      <c r="H20" s="10"/>
      <c r="I20" s="10"/>
      <c r="J20" s="10"/>
    </row>
    <row r="21" spans="2:10" ht="30" customHeight="1" x14ac:dyDescent="0.25">
      <c r="B21" s="14"/>
      <c r="C21" s="15"/>
      <c r="D21" s="16" t="s">
        <v>10</v>
      </c>
      <c r="E21" s="27" t="s">
        <v>2</v>
      </c>
      <c r="F21" s="27"/>
      <c r="G21" s="27"/>
      <c r="H21" s="27"/>
      <c r="I21" s="27"/>
      <c r="J21" s="17" t="s">
        <v>11</v>
      </c>
    </row>
    <row r="22" spans="2:10" x14ac:dyDescent="0.25">
      <c r="B22" s="14"/>
      <c r="C22" s="18"/>
      <c r="D22" s="19">
        <v>0</v>
      </c>
      <c r="E22" s="19">
        <v>1</v>
      </c>
      <c r="F22" s="19">
        <v>2</v>
      </c>
      <c r="G22" s="19">
        <v>3</v>
      </c>
      <c r="H22" s="19">
        <v>4</v>
      </c>
      <c r="I22" s="19">
        <v>5</v>
      </c>
      <c r="J22" s="19">
        <v>6</v>
      </c>
    </row>
    <row r="23" spans="2:10" x14ac:dyDescent="0.25">
      <c r="B23" s="20" t="s">
        <v>3</v>
      </c>
      <c r="C23" s="8" t="s">
        <v>14</v>
      </c>
      <c r="D23" s="12"/>
      <c r="E23" s="12">
        <f>$D$14</f>
        <v>68400</v>
      </c>
      <c r="F23" s="12">
        <f>$D$14</f>
        <v>68400</v>
      </c>
      <c r="G23" s="12">
        <f>$D$14</f>
        <v>68400</v>
      </c>
      <c r="H23" s="12">
        <f>$D$14</f>
        <v>68400</v>
      </c>
      <c r="I23" s="12">
        <f>$D$14</f>
        <v>68400</v>
      </c>
      <c r="J23" s="12">
        <f>$D$6*(1+$D$18)^5</f>
        <v>3477822.2228999995</v>
      </c>
    </row>
    <row r="24" spans="2:10" x14ac:dyDescent="0.25">
      <c r="B24" s="20" t="s">
        <v>4</v>
      </c>
      <c r="C24" s="8" t="s">
        <v>14</v>
      </c>
      <c r="D24" s="12">
        <f>-D7*D6</f>
        <v>-600000</v>
      </c>
      <c r="E24" s="12">
        <f>$D16</f>
        <v>-40320</v>
      </c>
      <c r="F24" s="12">
        <f t="shared" ref="F24:I24" si="0">$D16</f>
        <v>-40320</v>
      </c>
      <c r="G24" s="12">
        <f t="shared" si="0"/>
        <v>-40320</v>
      </c>
      <c r="H24" s="12">
        <f t="shared" si="0"/>
        <v>-40320</v>
      </c>
      <c r="I24" s="12">
        <f t="shared" si="0"/>
        <v>-40320</v>
      </c>
      <c r="J24" s="12">
        <f>D9</f>
        <v>-2400000</v>
      </c>
    </row>
    <row r="25" spans="2:10" x14ac:dyDescent="0.25">
      <c r="B25" s="20" t="s">
        <v>8</v>
      </c>
      <c r="C25" s="8" t="s">
        <v>14</v>
      </c>
      <c r="D25" s="21">
        <f>D23+D24</f>
        <v>-600000</v>
      </c>
      <c r="E25" s="21">
        <f t="shared" ref="E25:J25" si="1">E23+E24</f>
        <v>28080</v>
      </c>
      <c r="F25" s="21">
        <f t="shared" si="1"/>
        <v>28080</v>
      </c>
      <c r="G25" s="21">
        <f t="shared" si="1"/>
        <v>28080</v>
      </c>
      <c r="H25" s="21">
        <f t="shared" si="1"/>
        <v>28080</v>
      </c>
      <c r="I25" s="21">
        <f t="shared" si="1"/>
        <v>28080</v>
      </c>
      <c r="J25" s="21">
        <f t="shared" si="1"/>
        <v>1077822.2228999995</v>
      </c>
    </row>
    <row r="26" spans="2:10" x14ac:dyDescent="0.25">
      <c r="B26" s="10"/>
      <c r="C26" s="22"/>
      <c r="D26" s="10"/>
      <c r="E26" s="10"/>
      <c r="F26" s="18"/>
      <c r="G26" s="14"/>
      <c r="H26" s="14"/>
      <c r="I26" s="14"/>
      <c r="J26" s="14"/>
    </row>
    <row r="27" spans="2:10" x14ac:dyDescent="0.25">
      <c r="B27" s="20" t="s">
        <v>9</v>
      </c>
      <c r="C27" s="8" t="s">
        <v>15</v>
      </c>
      <c r="D27" s="23">
        <f>IRR(D25:J25)</f>
        <v>0.13559902279504699</v>
      </c>
      <c r="E27" s="10"/>
      <c r="F27" s="10"/>
      <c r="G27" s="10"/>
      <c r="H27" s="10"/>
      <c r="I27" s="10"/>
      <c r="J27" s="10"/>
    </row>
    <row r="28" spans="2:10" x14ac:dyDescent="0.25">
      <c r="B28" s="10"/>
      <c r="D28" s="10"/>
      <c r="E28" s="10"/>
      <c r="F28" s="10"/>
      <c r="G28" s="10"/>
      <c r="H28" s="10"/>
      <c r="I28" s="10"/>
      <c r="J28" s="10"/>
    </row>
  </sheetData>
  <mergeCells count="2">
    <mergeCell ref="E21:I21"/>
    <mergeCell ref="F9:I1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35B15-E82B-BE44-B87E-1FFA1325252B}">
  <sheetPr codeName="Sheet2"/>
  <dimension ref="B2:H34"/>
  <sheetViews>
    <sheetView zoomScale="91" workbookViewId="0">
      <selection activeCell="H4" sqref="H4"/>
    </sheetView>
  </sheetViews>
  <sheetFormatPr defaultColWidth="10.875" defaultRowHeight="15.75" x14ac:dyDescent="0.25"/>
  <cols>
    <col min="1" max="1" width="10.875" style="1"/>
    <col min="2" max="2" width="31.625" style="1" customWidth="1"/>
    <col min="3" max="5" width="10.875" style="1"/>
    <col min="6" max="6" width="27.875" style="1" customWidth="1"/>
    <col min="7" max="16384" width="10.875" style="1"/>
  </cols>
  <sheetData>
    <row r="2" spans="2:8" x14ac:dyDescent="0.25">
      <c r="B2" s="2" t="s">
        <v>20</v>
      </c>
    </row>
    <row r="4" spans="2:8" x14ac:dyDescent="0.25">
      <c r="B4" s="7" t="s">
        <v>12</v>
      </c>
      <c r="C4" s="8" t="s">
        <v>15</v>
      </c>
      <c r="D4" s="24">
        <v>-0.04</v>
      </c>
      <c r="F4" s="20" t="s">
        <v>9</v>
      </c>
      <c r="G4" s="8" t="s">
        <v>15</v>
      </c>
      <c r="H4" s="23"/>
    </row>
    <row r="5" spans="2:8" x14ac:dyDescent="0.25">
      <c r="D5" s="24">
        <v>-0.03</v>
      </c>
      <c r="H5" s="23"/>
    </row>
    <row r="6" spans="2:8" x14ac:dyDescent="0.25">
      <c r="D6" s="24">
        <v>-0.02</v>
      </c>
      <c r="H6" s="23"/>
    </row>
    <row r="7" spans="2:8" x14ac:dyDescent="0.25">
      <c r="D7" s="24">
        <v>-0.01</v>
      </c>
      <c r="H7" s="23"/>
    </row>
    <row r="8" spans="2:8" x14ac:dyDescent="0.25">
      <c r="D8" s="24">
        <v>0</v>
      </c>
      <c r="H8" s="23"/>
    </row>
    <row r="9" spans="2:8" x14ac:dyDescent="0.25">
      <c r="D9" s="24">
        <v>0.01</v>
      </c>
      <c r="H9" s="23"/>
    </row>
    <row r="10" spans="2:8" x14ac:dyDescent="0.25">
      <c r="D10" s="24">
        <v>0.02</v>
      </c>
      <c r="H10" s="23"/>
    </row>
    <row r="11" spans="2:8" x14ac:dyDescent="0.25">
      <c r="D11" s="24">
        <v>0.03</v>
      </c>
      <c r="H11" s="23"/>
    </row>
    <row r="12" spans="2:8" x14ac:dyDescent="0.25">
      <c r="D12" s="24">
        <v>0.04</v>
      </c>
      <c r="H12" s="23"/>
    </row>
    <row r="13" spans="2:8" x14ac:dyDescent="0.25">
      <c r="D13" s="24">
        <v>0.05</v>
      </c>
      <c r="H13" s="23"/>
    </row>
    <row r="14" spans="2:8" x14ac:dyDescent="0.25">
      <c r="D14" s="24">
        <v>0.06</v>
      </c>
      <c r="H14" s="23"/>
    </row>
    <row r="18" spans="2:8" x14ac:dyDescent="0.25">
      <c r="B18" s="7" t="s">
        <v>18</v>
      </c>
      <c r="C18" s="8" t="s">
        <v>15</v>
      </c>
      <c r="D18" s="13">
        <v>0</v>
      </c>
      <c r="F18" s="20" t="s">
        <v>9</v>
      </c>
      <c r="G18" s="8" t="s">
        <v>15</v>
      </c>
      <c r="H18" s="23"/>
    </row>
    <row r="19" spans="2:8" x14ac:dyDescent="0.25">
      <c r="D19" s="13">
        <v>2.5000000000000001E-3</v>
      </c>
      <c r="H19" s="23"/>
    </row>
    <row r="20" spans="2:8" x14ac:dyDescent="0.25">
      <c r="D20" s="13">
        <v>5.0000000000000001E-3</v>
      </c>
      <c r="H20" s="23"/>
    </row>
    <row r="21" spans="2:8" x14ac:dyDescent="0.25">
      <c r="D21" s="13">
        <v>7.4999999999999997E-3</v>
      </c>
      <c r="H21" s="23"/>
    </row>
    <row r="22" spans="2:8" x14ac:dyDescent="0.25">
      <c r="D22" s="13">
        <v>0.01</v>
      </c>
      <c r="H22" s="23"/>
    </row>
    <row r="23" spans="2:8" x14ac:dyDescent="0.25">
      <c r="D23" s="13">
        <v>1.2500000000000001E-2</v>
      </c>
      <c r="H23" s="23"/>
    </row>
    <row r="24" spans="2:8" x14ac:dyDescent="0.25">
      <c r="D24" s="13">
        <v>1.4999999999999999E-2</v>
      </c>
      <c r="H24" s="23"/>
    </row>
    <row r="25" spans="2:8" x14ac:dyDescent="0.25">
      <c r="D25" s="13">
        <v>1.7500000000000002E-2</v>
      </c>
      <c r="H25" s="23"/>
    </row>
    <row r="26" spans="2:8" x14ac:dyDescent="0.25">
      <c r="D26" s="13">
        <v>0.02</v>
      </c>
      <c r="H26" s="23"/>
    </row>
    <row r="27" spans="2:8" x14ac:dyDescent="0.25">
      <c r="D27" s="13">
        <v>2.2499999999999999E-2</v>
      </c>
      <c r="H27" s="23"/>
    </row>
    <row r="28" spans="2:8" x14ac:dyDescent="0.25">
      <c r="D28" s="13">
        <v>2.5000000000000001E-2</v>
      </c>
      <c r="H28" s="23"/>
    </row>
    <row r="29" spans="2:8" x14ac:dyDescent="0.25">
      <c r="D29" s="13">
        <v>2.75E-2</v>
      </c>
      <c r="H29" s="23"/>
    </row>
    <row r="30" spans="2:8" x14ac:dyDescent="0.25">
      <c r="D30" s="13">
        <v>0.03</v>
      </c>
      <c r="H30" s="23"/>
    </row>
    <row r="31" spans="2:8" x14ac:dyDescent="0.25">
      <c r="D31" s="13">
        <v>3.2500000000000001E-2</v>
      </c>
      <c r="H31" s="23"/>
    </row>
    <row r="32" spans="2:8" x14ac:dyDescent="0.25">
      <c r="D32" s="13">
        <v>3.5000000000000003E-2</v>
      </c>
      <c r="H32" s="23"/>
    </row>
    <row r="33" spans="4:8" x14ac:dyDescent="0.25">
      <c r="D33" s="13">
        <v>3.7499999999999999E-2</v>
      </c>
      <c r="H33" s="23"/>
    </row>
    <row r="34" spans="4:8" x14ac:dyDescent="0.25">
      <c r="D34" s="13">
        <v>0.04</v>
      </c>
      <c r="H34" s="2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1D854-0657-42E9-8BC5-A1A7721B66F3}">
  <sheetPr codeName="Sheet3"/>
  <dimension ref="B2:J2005"/>
  <sheetViews>
    <sheetView workbookViewId="0">
      <selection activeCell="L13" sqref="L13"/>
    </sheetView>
  </sheetViews>
  <sheetFormatPr defaultColWidth="10.875" defaultRowHeight="15.75" x14ac:dyDescent="0.25"/>
  <cols>
    <col min="1" max="1" width="5.5" style="1" customWidth="1"/>
    <col min="2" max="2" width="31.625" style="1" customWidth="1"/>
    <col min="3" max="3" width="6.5" style="1" customWidth="1"/>
    <col min="4" max="4" width="7.625" style="1" customWidth="1"/>
    <col min="5" max="6" width="10.875" style="1"/>
    <col min="7" max="7" width="27.875" style="1" customWidth="1"/>
    <col min="8" max="8" width="6.5" style="1" customWidth="1"/>
    <col min="9" max="9" width="9.25" style="1" customWidth="1"/>
    <col min="10" max="16384" width="10.875" style="1"/>
  </cols>
  <sheetData>
    <row r="2" spans="2:10" x14ac:dyDescent="0.25">
      <c r="B2" s="7" t="s">
        <v>12</v>
      </c>
      <c r="C2" s="8" t="s">
        <v>15</v>
      </c>
      <c r="D2" s="8" t="s">
        <v>23</v>
      </c>
      <c r="E2" s="24"/>
      <c r="G2" s="20" t="s">
        <v>9</v>
      </c>
      <c r="H2" s="8" t="s">
        <v>15</v>
      </c>
      <c r="I2" s="8" t="s">
        <v>23</v>
      </c>
      <c r="J2" s="26"/>
    </row>
    <row r="3" spans="2:10" x14ac:dyDescent="0.25">
      <c r="D3" s="8" t="s">
        <v>21</v>
      </c>
      <c r="E3" s="24"/>
      <c r="I3" s="8" t="s">
        <v>22</v>
      </c>
      <c r="J3" s="26"/>
    </row>
    <row r="4" spans="2:10" x14ac:dyDescent="0.25">
      <c r="I4" s="8" t="s">
        <v>21</v>
      </c>
      <c r="J4" s="26"/>
    </row>
    <row r="5" spans="2:10" x14ac:dyDescent="0.25">
      <c r="E5" s="25" t="s">
        <v>20</v>
      </c>
      <c r="J5" s="25"/>
    </row>
    <row r="6" spans="2:10" x14ac:dyDescent="0.25">
      <c r="E6" s="24"/>
      <c r="J6" s="24"/>
    </row>
    <row r="7" spans="2:10" x14ac:dyDescent="0.25">
      <c r="E7" s="24"/>
      <c r="J7" s="24"/>
    </row>
    <row r="8" spans="2:10" x14ac:dyDescent="0.25">
      <c r="E8" s="24"/>
      <c r="J8" s="24"/>
    </row>
    <row r="9" spans="2:10" x14ac:dyDescent="0.25">
      <c r="E9" s="24"/>
      <c r="J9" s="24"/>
    </row>
    <row r="10" spans="2:10" x14ac:dyDescent="0.25">
      <c r="E10" s="24"/>
      <c r="J10" s="24"/>
    </row>
    <row r="11" spans="2:10" x14ac:dyDescent="0.25">
      <c r="E11" s="24"/>
      <c r="J11" s="24"/>
    </row>
    <row r="12" spans="2:10" x14ac:dyDescent="0.25">
      <c r="E12" s="24"/>
      <c r="J12" s="24"/>
    </row>
    <row r="13" spans="2:10" x14ac:dyDescent="0.25">
      <c r="E13" s="24"/>
      <c r="J13" s="24"/>
    </row>
    <row r="14" spans="2:10" x14ac:dyDescent="0.25">
      <c r="E14" s="24"/>
      <c r="J14" s="24"/>
    </row>
    <row r="15" spans="2:10" x14ac:dyDescent="0.25">
      <c r="E15" s="24"/>
      <c r="J15" s="24"/>
    </row>
    <row r="16" spans="2:10" x14ac:dyDescent="0.25">
      <c r="E16" s="24"/>
      <c r="J16" s="24"/>
    </row>
    <row r="17" spans="5:10" x14ac:dyDescent="0.25">
      <c r="E17" s="24"/>
      <c r="J17" s="24"/>
    </row>
    <row r="18" spans="5:10" x14ac:dyDescent="0.25">
      <c r="E18" s="24"/>
      <c r="J18" s="24"/>
    </row>
    <row r="19" spans="5:10" x14ac:dyDescent="0.25">
      <c r="E19" s="24"/>
      <c r="J19" s="24"/>
    </row>
    <row r="20" spans="5:10" x14ac:dyDescent="0.25">
      <c r="E20" s="24"/>
      <c r="J20" s="24"/>
    </row>
    <row r="21" spans="5:10" x14ac:dyDescent="0.25">
      <c r="E21" s="24"/>
      <c r="J21" s="24"/>
    </row>
    <row r="22" spans="5:10" x14ac:dyDescent="0.25">
      <c r="E22" s="24"/>
      <c r="J22" s="24"/>
    </row>
    <row r="23" spans="5:10" x14ac:dyDescent="0.25">
      <c r="E23" s="24"/>
      <c r="J23" s="24"/>
    </row>
    <row r="24" spans="5:10" x14ac:dyDescent="0.25">
      <c r="E24" s="24"/>
      <c r="J24" s="24"/>
    </row>
    <row r="25" spans="5:10" x14ac:dyDescent="0.25">
      <c r="E25" s="24"/>
      <c r="J25" s="24"/>
    </row>
    <row r="26" spans="5:10" x14ac:dyDescent="0.25">
      <c r="E26" s="24"/>
      <c r="J26" s="24"/>
    </row>
    <row r="27" spans="5:10" x14ac:dyDescent="0.25">
      <c r="E27" s="24"/>
      <c r="J27" s="24"/>
    </row>
    <row r="28" spans="5:10" x14ac:dyDescent="0.25">
      <c r="E28" s="24"/>
      <c r="J28" s="24"/>
    </row>
    <row r="29" spans="5:10" x14ac:dyDescent="0.25">
      <c r="E29" s="24"/>
      <c r="J29" s="24"/>
    </row>
    <row r="30" spans="5:10" x14ac:dyDescent="0.25">
      <c r="E30" s="24"/>
      <c r="J30" s="24"/>
    </row>
    <row r="31" spans="5:10" x14ac:dyDescent="0.25">
      <c r="E31" s="24"/>
      <c r="J31" s="24"/>
    </row>
    <row r="32" spans="5:10" x14ac:dyDescent="0.25">
      <c r="E32" s="24"/>
      <c r="J32" s="24"/>
    </row>
    <row r="33" spans="5:10" x14ac:dyDescent="0.25">
      <c r="E33" s="24"/>
      <c r="J33" s="24"/>
    </row>
    <row r="34" spans="5:10" x14ac:dyDescent="0.25">
      <c r="E34" s="24"/>
      <c r="J34" s="24"/>
    </row>
    <row r="35" spans="5:10" x14ac:dyDescent="0.25">
      <c r="E35" s="24"/>
      <c r="J35" s="24"/>
    </row>
    <row r="36" spans="5:10" x14ac:dyDescent="0.25">
      <c r="E36" s="24"/>
      <c r="J36" s="24"/>
    </row>
    <row r="37" spans="5:10" x14ac:dyDescent="0.25">
      <c r="E37" s="24"/>
      <c r="J37" s="24"/>
    </row>
    <row r="38" spans="5:10" x14ac:dyDescent="0.25">
      <c r="E38" s="24"/>
      <c r="J38" s="24"/>
    </row>
    <row r="39" spans="5:10" x14ac:dyDescent="0.25">
      <c r="E39" s="24"/>
      <c r="J39" s="24"/>
    </row>
    <row r="40" spans="5:10" x14ac:dyDescent="0.25">
      <c r="E40" s="24"/>
      <c r="J40" s="24"/>
    </row>
    <row r="41" spans="5:10" x14ac:dyDescent="0.25">
      <c r="E41" s="24"/>
      <c r="J41" s="24"/>
    </row>
    <row r="42" spans="5:10" x14ac:dyDescent="0.25">
      <c r="E42" s="24"/>
      <c r="J42" s="24"/>
    </row>
    <row r="43" spans="5:10" x14ac:dyDescent="0.25">
      <c r="E43" s="24"/>
      <c r="J43" s="24"/>
    </row>
    <row r="44" spans="5:10" x14ac:dyDescent="0.25">
      <c r="E44" s="24"/>
      <c r="J44" s="24"/>
    </row>
    <row r="45" spans="5:10" x14ac:dyDescent="0.25">
      <c r="E45" s="24"/>
      <c r="J45" s="24"/>
    </row>
    <row r="46" spans="5:10" x14ac:dyDescent="0.25">
      <c r="E46" s="24"/>
      <c r="J46" s="24"/>
    </row>
    <row r="47" spans="5:10" x14ac:dyDescent="0.25">
      <c r="E47" s="24"/>
      <c r="J47" s="24"/>
    </row>
    <row r="48" spans="5:10" x14ac:dyDescent="0.25">
      <c r="E48" s="24"/>
      <c r="J48" s="24"/>
    </row>
    <row r="49" spans="5:10" x14ac:dyDescent="0.25">
      <c r="E49" s="24"/>
      <c r="J49" s="24"/>
    </row>
    <row r="50" spans="5:10" x14ac:dyDescent="0.25">
      <c r="E50" s="24"/>
      <c r="J50" s="24"/>
    </row>
    <row r="51" spans="5:10" x14ac:dyDescent="0.25">
      <c r="E51" s="24"/>
      <c r="J51" s="24"/>
    </row>
    <row r="52" spans="5:10" x14ac:dyDescent="0.25">
      <c r="E52" s="24"/>
      <c r="J52" s="24"/>
    </row>
    <row r="53" spans="5:10" x14ac:dyDescent="0.25">
      <c r="E53" s="24"/>
      <c r="J53" s="24"/>
    </row>
    <row r="54" spans="5:10" x14ac:dyDescent="0.25">
      <c r="E54" s="24"/>
      <c r="J54" s="24"/>
    </row>
    <row r="55" spans="5:10" x14ac:dyDescent="0.25">
      <c r="E55" s="24"/>
      <c r="J55" s="24"/>
    </row>
    <row r="56" spans="5:10" x14ac:dyDescent="0.25">
      <c r="E56" s="24"/>
      <c r="J56" s="24"/>
    </row>
    <row r="57" spans="5:10" x14ac:dyDescent="0.25">
      <c r="E57" s="24"/>
      <c r="J57" s="24"/>
    </row>
    <row r="58" spans="5:10" x14ac:dyDescent="0.25">
      <c r="E58" s="24"/>
      <c r="J58" s="24"/>
    </row>
    <row r="59" spans="5:10" x14ac:dyDescent="0.25">
      <c r="E59" s="24"/>
      <c r="J59" s="24"/>
    </row>
    <row r="60" spans="5:10" x14ac:dyDescent="0.25">
      <c r="E60" s="24"/>
      <c r="J60" s="24"/>
    </row>
    <row r="61" spans="5:10" x14ac:dyDescent="0.25">
      <c r="E61" s="24"/>
      <c r="J61" s="24"/>
    </row>
    <row r="62" spans="5:10" x14ac:dyDescent="0.25">
      <c r="E62" s="24"/>
      <c r="J62" s="24"/>
    </row>
    <row r="63" spans="5:10" x14ac:dyDescent="0.25">
      <c r="E63" s="24"/>
      <c r="J63" s="24"/>
    </row>
    <row r="64" spans="5:10" x14ac:dyDescent="0.25">
      <c r="E64" s="24"/>
      <c r="J64" s="24"/>
    </row>
    <row r="65" spans="5:10" x14ac:dyDescent="0.25">
      <c r="E65" s="24"/>
      <c r="J65" s="24"/>
    </row>
    <row r="66" spans="5:10" x14ac:dyDescent="0.25">
      <c r="E66" s="24"/>
      <c r="J66" s="24"/>
    </row>
    <row r="67" spans="5:10" x14ac:dyDescent="0.25">
      <c r="E67" s="24"/>
      <c r="J67" s="24"/>
    </row>
    <row r="68" spans="5:10" x14ac:dyDescent="0.25">
      <c r="E68" s="24"/>
      <c r="J68" s="24"/>
    </row>
    <row r="69" spans="5:10" x14ac:dyDescent="0.25">
      <c r="E69" s="24"/>
      <c r="J69" s="24"/>
    </row>
    <row r="70" spans="5:10" x14ac:dyDescent="0.25">
      <c r="E70" s="24"/>
      <c r="J70" s="24"/>
    </row>
    <row r="71" spans="5:10" x14ac:dyDescent="0.25">
      <c r="E71" s="24"/>
      <c r="J71" s="24"/>
    </row>
    <row r="72" spans="5:10" x14ac:dyDescent="0.25">
      <c r="E72" s="24"/>
      <c r="J72" s="24"/>
    </row>
    <row r="73" spans="5:10" x14ac:dyDescent="0.25">
      <c r="E73" s="24"/>
      <c r="J73" s="24"/>
    </row>
    <row r="74" spans="5:10" x14ac:dyDescent="0.25">
      <c r="E74" s="24"/>
      <c r="J74" s="24"/>
    </row>
    <row r="75" spans="5:10" x14ac:dyDescent="0.25">
      <c r="E75" s="24"/>
      <c r="J75" s="24"/>
    </row>
    <row r="76" spans="5:10" x14ac:dyDescent="0.25">
      <c r="E76" s="24"/>
      <c r="J76" s="24"/>
    </row>
    <row r="77" spans="5:10" x14ac:dyDescent="0.25">
      <c r="E77" s="24"/>
      <c r="J77" s="24"/>
    </row>
    <row r="78" spans="5:10" x14ac:dyDescent="0.25">
      <c r="E78" s="24"/>
      <c r="J78" s="24"/>
    </row>
    <row r="79" spans="5:10" x14ac:dyDescent="0.25">
      <c r="E79" s="24"/>
      <c r="J79" s="24"/>
    </row>
    <row r="80" spans="5:10" x14ac:dyDescent="0.25">
      <c r="E80" s="24"/>
      <c r="J80" s="24"/>
    </row>
    <row r="81" spans="5:10" x14ac:dyDescent="0.25">
      <c r="E81" s="24"/>
      <c r="J81" s="24"/>
    </row>
    <row r="82" spans="5:10" x14ac:dyDescent="0.25">
      <c r="E82" s="24"/>
      <c r="J82" s="24"/>
    </row>
    <row r="83" spans="5:10" x14ac:dyDescent="0.25">
      <c r="E83" s="24"/>
      <c r="J83" s="24"/>
    </row>
    <row r="84" spans="5:10" x14ac:dyDescent="0.25">
      <c r="E84" s="24"/>
      <c r="J84" s="24"/>
    </row>
    <row r="85" spans="5:10" x14ac:dyDescent="0.25">
      <c r="E85" s="24"/>
      <c r="J85" s="24"/>
    </row>
    <row r="86" spans="5:10" x14ac:dyDescent="0.25">
      <c r="E86" s="24"/>
      <c r="J86" s="24"/>
    </row>
    <row r="87" spans="5:10" x14ac:dyDescent="0.25">
      <c r="E87" s="24"/>
      <c r="J87" s="24"/>
    </row>
    <row r="88" spans="5:10" x14ac:dyDescent="0.25">
      <c r="E88" s="24"/>
      <c r="J88" s="24"/>
    </row>
    <row r="89" spans="5:10" x14ac:dyDescent="0.25">
      <c r="E89" s="24"/>
      <c r="J89" s="24"/>
    </row>
    <row r="90" spans="5:10" x14ac:dyDescent="0.25">
      <c r="E90" s="24"/>
      <c r="J90" s="24"/>
    </row>
    <row r="91" spans="5:10" x14ac:dyDescent="0.25">
      <c r="E91" s="24"/>
      <c r="J91" s="24"/>
    </row>
    <row r="92" spans="5:10" x14ac:dyDescent="0.25">
      <c r="E92" s="24"/>
      <c r="J92" s="24"/>
    </row>
    <row r="93" spans="5:10" x14ac:dyDescent="0.25">
      <c r="E93" s="24"/>
      <c r="J93" s="24"/>
    </row>
    <row r="94" spans="5:10" x14ac:dyDescent="0.25">
      <c r="E94" s="24"/>
      <c r="J94" s="24"/>
    </row>
    <row r="95" spans="5:10" x14ac:dyDescent="0.25">
      <c r="E95" s="24"/>
      <c r="J95" s="24"/>
    </row>
    <row r="96" spans="5:10" x14ac:dyDescent="0.25">
      <c r="E96" s="24"/>
      <c r="J96" s="24"/>
    </row>
    <row r="97" spans="5:10" x14ac:dyDescent="0.25">
      <c r="E97" s="24"/>
      <c r="J97" s="24"/>
    </row>
    <row r="98" spans="5:10" x14ac:dyDescent="0.25">
      <c r="E98" s="24"/>
      <c r="J98" s="24"/>
    </row>
    <row r="99" spans="5:10" x14ac:dyDescent="0.25">
      <c r="E99" s="24"/>
      <c r="J99" s="24"/>
    </row>
    <row r="100" spans="5:10" x14ac:dyDescent="0.25">
      <c r="E100" s="24"/>
      <c r="J100" s="24"/>
    </row>
    <row r="101" spans="5:10" x14ac:dyDescent="0.25">
      <c r="E101" s="24"/>
      <c r="J101" s="24"/>
    </row>
    <row r="102" spans="5:10" x14ac:dyDescent="0.25">
      <c r="E102" s="24"/>
      <c r="J102" s="24"/>
    </row>
    <row r="103" spans="5:10" x14ac:dyDescent="0.25">
      <c r="E103" s="24"/>
      <c r="J103" s="24"/>
    </row>
    <row r="104" spans="5:10" x14ac:dyDescent="0.25">
      <c r="E104" s="24"/>
      <c r="J104" s="24"/>
    </row>
    <row r="105" spans="5:10" x14ac:dyDescent="0.25">
      <c r="E105" s="24"/>
      <c r="J105" s="24"/>
    </row>
    <row r="106" spans="5:10" x14ac:dyDescent="0.25">
      <c r="E106" s="24"/>
      <c r="J106" s="24"/>
    </row>
    <row r="107" spans="5:10" x14ac:dyDescent="0.25">
      <c r="E107" s="24"/>
      <c r="J107" s="24"/>
    </row>
    <row r="108" spans="5:10" x14ac:dyDescent="0.25">
      <c r="E108" s="24"/>
      <c r="J108" s="24"/>
    </row>
    <row r="109" spans="5:10" x14ac:dyDescent="0.25">
      <c r="E109" s="24"/>
      <c r="J109" s="24"/>
    </row>
    <row r="110" spans="5:10" x14ac:dyDescent="0.25">
      <c r="E110" s="24"/>
      <c r="J110" s="24"/>
    </row>
    <row r="111" spans="5:10" x14ac:dyDescent="0.25">
      <c r="E111" s="24"/>
      <c r="J111" s="24"/>
    </row>
    <row r="112" spans="5:10" x14ac:dyDescent="0.25">
      <c r="E112" s="24"/>
      <c r="J112" s="24"/>
    </row>
    <row r="113" spans="5:10" x14ac:dyDescent="0.25">
      <c r="E113" s="24"/>
      <c r="J113" s="24"/>
    </row>
    <row r="114" spans="5:10" x14ac:dyDescent="0.25">
      <c r="E114" s="24"/>
      <c r="J114" s="24"/>
    </row>
    <row r="115" spans="5:10" x14ac:dyDescent="0.25">
      <c r="E115" s="24"/>
      <c r="J115" s="24"/>
    </row>
    <row r="116" spans="5:10" x14ac:dyDescent="0.25">
      <c r="E116" s="24"/>
      <c r="J116" s="24"/>
    </row>
    <row r="117" spans="5:10" x14ac:dyDescent="0.25">
      <c r="E117" s="24"/>
      <c r="J117" s="24"/>
    </row>
    <row r="118" spans="5:10" x14ac:dyDescent="0.25">
      <c r="E118" s="24"/>
      <c r="J118" s="24"/>
    </row>
    <row r="119" spans="5:10" x14ac:dyDescent="0.25">
      <c r="E119" s="24"/>
      <c r="J119" s="24"/>
    </row>
    <row r="120" spans="5:10" x14ac:dyDescent="0.25">
      <c r="E120" s="24"/>
      <c r="J120" s="24"/>
    </row>
    <row r="121" spans="5:10" x14ac:dyDescent="0.25">
      <c r="E121" s="24"/>
      <c r="J121" s="24"/>
    </row>
    <row r="122" spans="5:10" x14ac:dyDescent="0.25">
      <c r="E122" s="24"/>
      <c r="J122" s="24"/>
    </row>
    <row r="123" spans="5:10" x14ac:dyDescent="0.25">
      <c r="E123" s="24"/>
      <c r="J123" s="24"/>
    </row>
    <row r="124" spans="5:10" x14ac:dyDescent="0.25">
      <c r="E124" s="24"/>
      <c r="J124" s="24"/>
    </row>
    <row r="125" spans="5:10" x14ac:dyDescent="0.25">
      <c r="E125" s="24"/>
      <c r="J125" s="24"/>
    </row>
    <row r="126" spans="5:10" x14ac:dyDescent="0.25">
      <c r="E126" s="24"/>
      <c r="J126" s="24"/>
    </row>
    <row r="127" spans="5:10" x14ac:dyDescent="0.25">
      <c r="E127" s="24"/>
      <c r="J127" s="24"/>
    </row>
    <row r="128" spans="5:10" x14ac:dyDescent="0.25">
      <c r="E128" s="24"/>
      <c r="J128" s="24"/>
    </row>
    <row r="129" spans="5:10" x14ac:dyDescent="0.25">
      <c r="E129" s="24"/>
      <c r="J129" s="24"/>
    </row>
    <row r="130" spans="5:10" x14ac:dyDescent="0.25">
      <c r="E130" s="24"/>
      <c r="J130" s="24"/>
    </row>
    <row r="131" spans="5:10" x14ac:dyDescent="0.25">
      <c r="E131" s="24"/>
      <c r="J131" s="24"/>
    </row>
    <row r="132" spans="5:10" x14ac:dyDescent="0.25">
      <c r="E132" s="24"/>
      <c r="J132" s="24"/>
    </row>
    <row r="133" spans="5:10" x14ac:dyDescent="0.25">
      <c r="E133" s="24"/>
      <c r="J133" s="24"/>
    </row>
    <row r="134" spans="5:10" x14ac:dyDescent="0.25">
      <c r="E134" s="24"/>
      <c r="J134" s="24"/>
    </row>
    <row r="135" spans="5:10" x14ac:dyDescent="0.25">
      <c r="E135" s="24"/>
      <c r="J135" s="24"/>
    </row>
    <row r="136" spans="5:10" x14ac:dyDescent="0.25">
      <c r="E136" s="24"/>
      <c r="J136" s="24"/>
    </row>
    <row r="137" spans="5:10" x14ac:dyDescent="0.25">
      <c r="E137" s="24"/>
      <c r="J137" s="24"/>
    </row>
    <row r="138" spans="5:10" x14ac:dyDescent="0.25">
      <c r="E138" s="24"/>
      <c r="J138" s="24"/>
    </row>
    <row r="139" spans="5:10" x14ac:dyDescent="0.25">
      <c r="E139" s="24"/>
      <c r="J139" s="24"/>
    </row>
    <row r="140" spans="5:10" x14ac:dyDescent="0.25">
      <c r="E140" s="24"/>
      <c r="J140" s="24"/>
    </row>
    <row r="141" spans="5:10" x14ac:dyDescent="0.25">
      <c r="E141" s="24"/>
      <c r="J141" s="24"/>
    </row>
    <row r="142" spans="5:10" x14ac:dyDescent="0.25">
      <c r="E142" s="24"/>
      <c r="J142" s="24"/>
    </row>
    <row r="143" spans="5:10" x14ac:dyDescent="0.25">
      <c r="E143" s="24"/>
      <c r="J143" s="24"/>
    </row>
    <row r="144" spans="5:10" x14ac:dyDescent="0.25">
      <c r="E144" s="24"/>
      <c r="J144" s="24"/>
    </row>
    <row r="145" spans="5:10" x14ac:dyDescent="0.25">
      <c r="E145" s="24"/>
      <c r="J145" s="24"/>
    </row>
    <row r="146" spans="5:10" x14ac:dyDescent="0.25">
      <c r="E146" s="24"/>
      <c r="J146" s="24"/>
    </row>
    <row r="147" spans="5:10" x14ac:dyDescent="0.25">
      <c r="E147" s="24"/>
      <c r="J147" s="24"/>
    </row>
    <row r="148" spans="5:10" x14ac:dyDescent="0.25">
      <c r="E148" s="24"/>
      <c r="J148" s="24"/>
    </row>
    <row r="149" spans="5:10" x14ac:dyDescent="0.25">
      <c r="E149" s="24"/>
      <c r="J149" s="24"/>
    </row>
    <row r="150" spans="5:10" x14ac:dyDescent="0.25">
      <c r="E150" s="24"/>
      <c r="J150" s="24"/>
    </row>
    <row r="151" spans="5:10" x14ac:dyDescent="0.25">
      <c r="E151" s="24"/>
      <c r="J151" s="24"/>
    </row>
    <row r="152" spans="5:10" x14ac:dyDescent="0.25">
      <c r="E152" s="24"/>
      <c r="J152" s="24"/>
    </row>
    <row r="153" spans="5:10" x14ac:dyDescent="0.25">
      <c r="E153" s="24"/>
      <c r="J153" s="24"/>
    </row>
    <row r="154" spans="5:10" x14ac:dyDescent="0.25">
      <c r="E154" s="24"/>
      <c r="J154" s="24"/>
    </row>
    <row r="155" spans="5:10" x14ac:dyDescent="0.25">
      <c r="E155" s="24"/>
      <c r="J155" s="24"/>
    </row>
    <row r="156" spans="5:10" x14ac:dyDescent="0.25">
      <c r="E156" s="24"/>
      <c r="J156" s="24"/>
    </row>
    <row r="157" spans="5:10" x14ac:dyDescent="0.25">
      <c r="E157" s="24"/>
      <c r="J157" s="24"/>
    </row>
    <row r="158" spans="5:10" x14ac:dyDescent="0.25">
      <c r="E158" s="24"/>
      <c r="J158" s="24"/>
    </row>
    <row r="159" spans="5:10" x14ac:dyDescent="0.25">
      <c r="E159" s="24"/>
      <c r="J159" s="24"/>
    </row>
    <row r="160" spans="5:10" x14ac:dyDescent="0.25">
      <c r="E160" s="24"/>
      <c r="J160" s="24"/>
    </row>
    <row r="161" spans="5:10" x14ac:dyDescent="0.25">
      <c r="E161" s="24"/>
      <c r="J161" s="24"/>
    </row>
    <row r="162" spans="5:10" x14ac:dyDescent="0.25">
      <c r="E162" s="24"/>
      <c r="J162" s="24"/>
    </row>
    <row r="163" spans="5:10" x14ac:dyDescent="0.25">
      <c r="E163" s="24"/>
      <c r="J163" s="24"/>
    </row>
    <row r="164" spans="5:10" x14ac:dyDescent="0.25">
      <c r="E164" s="24"/>
      <c r="J164" s="24"/>
    </row>
    <row r="165" spans="5:10" x14ac:dyDescent="0.25">
      <c r="E165" s="24"/>
      <c r="J165" s="24"/>
    </row>
    <row r="166" spans="5:10" x14ac:dyDescent="0.25">
      <c r="E166" s="24"/>
      <c r="J166" s="24"/>
    </row>
    <row r="167" spans="5:10" x14ac:dyDescent="0.25">
      <c r="E167" s="24"/>
      <c r="J167" s="24"/>
    </row>
    <row r="168" spans="5:10" x14ac:dyDescent="0.25">
      <c r="E168" s="24"/>
      <c r="J168" s="24"/>
    </row>
    <row r="169" spans="5:10" x14ac:dyDescent="0.25">
      <c r="E169" s="24"/>
      <c r="J169" s="24"/>
    </row>
    <row r="170" spans="5:10" x14ac:dyDescent="0.25">
      <c r="E170" s="24"/>
      <c r="J170" s="24"/>
    </row>
    <row r="171" spans="5:10" x14ac:dyDescent="0.25">
      <c r="E171" s="24"/>
      <c r="J171" s="24"/>
    </row>
    <row r="172" spans="5:10" x14ac:dyDescent="0.25">
      <c r="E172" s="24"/>
      <c r="J172" s="24"/>
    </row>
    <row r="173" spans="5:10" x14ac:dyDescent="0.25">
      <c r="E173" s="24"/>
      <c r="J173" s="24"/>
    </row>
    <row r="174" spans="5:10" x14ac:dyDescent="0.25">
      <c r="E174" s="24"/>
      <c r="J174" s="24"/>
    </row>
    <row r="175" spans="5:10" x14ac:dyDescent="0.25">
      <c r="E175" s="24"/>
      <c r="J175" s="24"/>
    </row>
    <row r="176" spans="5:10" x14ac:dyDescent="0.25">
      <c r="E176" s="24"/>
      <c r="J176" s="24"/>
    </row>
    <row r="177" spans="5:10" x14ac:dyDescent="0.25">
      <c r="E177" s="24"/>
      <c r="J177" s="24"/>
    </row>
    <row r="178" spans="5:10" x14ac:dyDescent="0.25">
      <c r="E178" s="24"/>
      <c r="J178" s="24"/>
    </row>
    <row r="179" spans="5:10" x14ac:dyDescent="0.25">
      <c r="E179" s="24"/>
      <c r="J179" s="24"/>
    </row>
    <row r="180" spans="5:10" x14ac:dyDescent="0.25">
      <c r="E180" s="24"/>
      <c r="J180" s="24"/>
    </row>
    <row r="181" spans="5:10" x14ac:dyDescent="0.25">
      <c r="E181" s="24"/>
      <c r="J181" s="24"/>
    </row>
    <row r="182" spans="5:10" x14ac:dyDescent="0.25">
      <c r="E182" s="24"/>
      <c r="J182" s="24"/>
    </row>
    <row r="183" spans="5:10" x14ac:dyDescent="0.25">
      <c r="E183" s="24"/>
      <c r="J183" s="24"/>
    </row>
    <row r="184" spans="5:10" x14ac:dyDescent="0.25">
      <c r="E184" s="24"/>
      <c r="J184" s="24"/>
    </row>
    <row r="185" spans="5:10" x14ac:dyDescent="0.25">
      <c r="E185" s="24"/>
      <c r="J185" s="24"/>
    </row>
    <row r="186" spans="5:10" x14ac:dyDescent="0.25">
      <c r="E186" s="24"/>
      <c r="J186" s="24"/>
    </row>
    <row r="187" spans="5:10" x14ac:dyDescent="0.25">
      <c r="E187" s="24"/>
      <c r="J187" s="24"/>
    </row>
    <row r="188" spans="5:10" x14ac:dyDescent="0.25">
      <c r="E188" s="24"/>
      <c r="J188" s="24"/>
    </row>
    <row r="189" spans="5:10" x14ac:dyDescent="0.25">
      <c r="E189" s="24"/>
      <c r="J189" s="24"/>
    </row>
    <row r="190" spans="5:10" x14ac:dyDescent="0.25">
      <c r="E190" s="24"/>
      <c r="J190" s="24"/>
    </row>
    <row r="191" spans="5:10" x14ac:dyDescent="0.25">
      <c r="E191" s="24"/>
      <c r="J191" s="24"/>
    </row>
    <row r="192" spans="5:10" x14ac:dyDescent="0.25">
      <c r="E192" s="24"/>
      <c r="J192" s="24"/>
    </row>
    <row r="193" spans="5:10" x14ac:dyDescent="0.25">
      <c r="E193" s="24"/>
      <c r="J193" s="24"/>
    </row>
    <row r="194" spans="5:10" x14ac:dyDescent="0.25">
      <c r="E194" s="24"/>
      <c r="J194" s="24"/>
    </row>
    <row r="195" spans="5:10" x14ac:dyDescent="0.25">
      <c r="E195" s="24"/>
      <c r="J195" s="24"/>
    </row>
    <row r="196" spans="5:10" x14ac:dyDescent="0.25">
      <c r="E196" s="24"/>
      <c r="J196" s="24"/>
    </row>
    <row r="197" spans="5:10" x14ac:dyDescent="0.25">
      <c r="E197" s="24"/>
      <c r="J197" s="24"/>
    </row>
    <row r="198" spans="5:10" x14ac:dyDescent="0.25">
      <c r="E198" s="24"/>
      <c r="J198" s="24"/>
    </row>
    <row r="199" spans="5:10" x14ac:dyDescent="0.25">
      <c r="E199" s="24"/>
      <c r="J199" s="24"/>
    </row>
    <row r="200" spans="5:10" x14ac:dyDescent="0.25">
      <c r="E200" s="24"/>
      <c r="J200" s="24"/>
    </row>
    <row r="201" spans="5:10" x14ac:dyDescent="0.25">
      <c r="E201" s="24"/>
      <c r="J201" s="24"/>
    </row>
    <row r="202" spans="5:10" x14ac:dyDescent="0.25">
      <c r="E202" s="24"/>
      <c r="J202" s="24"/>
    </row>
    <row r="203" spans="5:10" x14ac:dyDescent="0.25">
      <c r="E203" s="24"/>
      <c r="J203" s="24"/>
    </row>
    <row r="204" spans="5:10" x14ac:dyDescent="0.25">
      <c r="E204" s="24"/>
      <c r="J204" s="24"/>
    </row>
    <row r="205" spans="5:10" x14ac:dyDescent="0.25">
      <c r="E205" s="24"/>
      <c r="J205" s="24"/>
    </row>
    <row r="206" spans="5:10" x14ac:dyDescent="0.25">
      <c r="E206" s="24"/>
      <c r="J206" s="24"/>
    </row>
    <row r="207" spans="5:10" x14ac:dyDescent="0.25">
      <c r="E207" s="24"/>
      <c r="J207" s="24"/>
    </row>
    <row r="208" spans="5:10" x14ac:dyDescent="0.25">
      <c r="E208" s="24"/>
      <c r="J208" s="24"/>
    </row>
    <row r="209" spans="5:10" x14ac:dyDescent="0.25">
      <c r="E209" s="24"/>
      <c r="J209" s="24"/>
    </row>
    <row r="210" spans="5:10" x14ac:dyDescent="0.25">
      <c r="E210" s="24"/>
      <c r="J210" s="24"/>
    </row>
    <row r="211" spans="5:10" x14ac:dyDescent="0.25">
      <c r="E211" s="24"/>
      <c r="J211" s="24"/>
    </row>
    <row r="212" spans="5:10" x14ac:dyDescent="0.25">
      <c r="E212" s="24"/>
      <c r="J212" s="24"/>
    </row>
    <row r="213" spans="5:10" x14ac:dyDescent="0.25">
      <c r="E213" s="24"/>
      <c r="J213" s="24"/>
    </row>
    <row r="214" spans="5:10" x14ac:dyDescent="0.25">
      <c r="E214" s="24"/>
      <c r="J214" s="24"/>
    </row>
    <row r="215" spans="5:10" x14ac:dyDescent="0.25">
      <c r="E215" s="24"/>
      <c r="J215" s="24"/>
    </row>
    <row r="216" spans="5:10" x14ac:dyDescent="0.25">
      <c r="E216" s="24"/>
      <c r="J216" s="24"/>
    </row>
    <row r="217" spans="5:10" x14ac:dyDescent="0.25">
      <c r="E217" s="24"/>
      <c r="J217" s="24"/>
    </row>
    <row r="218" spans="5:10" x14ac:dyDescent="0.25">
      <c r="E218" s="24"/>
      <c r="J218" s="24"/>
    </row>
    <row r="219" spans="5:10" x14ac:dyDescent="0.25">
      <c r="E219" s="24"/>
      <c r="J219" s="24"/>
    </row>
    <row r="220" spans="5:10" x14ac:dyDescent="0.25">
      <c r="E220" s="24"/>
      <c r="J220" s="24"/>
    </row>
    <row r="221" spans="5:10" x14ac:dyDescent="0.25">
      <c r="E221" s="24"/>
      <c r="J221" s="24"/>
    </row>
    <row r="222" spans="5:10" x14ac:dyDescent="0.25">
      <c r="E222" s="24"/>
      <c r="J222" s="24"/>
    </row>
    <row r="223" spans="5:10" x14ac:dyDescent="0.25">
      <c r="E223" s="24"/>
      <c r="J223" s="24"/>
    </row>
    <row r="224" spans="5:10" x14ac:dyDescent="0.25">
      <c r="E224" s="24"/>
      <c r="J224" s="24"/>
    </row>
    <row r="225" spans="5:10" x14ac:dyDescent="0.25">
      <c r="E225" s="24"/>
      <c r="J225" s="24"/>
    </row>
    <row r="226" spans="5:10" x14ac:dyDescent="0.25">
      <c r="E226" s="24"/>
      <c r="J226" s="24"/>
    </row>
    <row r="227" spans="5:10" x14ac:dyDescent="0.25">
      <c r="E227" s="24"/>
      <c r="J227" s="24"/>
    </row>
    <row r="228" spans="5:10" x14ac:dyDescent="0.25">
      <c r="E228" s="24"/>
      <c r="J228" s="24"/>
    </row>
    <row r="229" spans="5:10" x14ac:dyDescent="0.25">
      <c r="E229" s="24"/>
      <c r="J229" s="24"/>
    </row>
    <row r="230" spans="5:10" x14ac:dyDescent="0.25">
      <c r="E230" s="24"/>
      <c r="J230" s="24"/>
    </row>
    <row r="231" spans="5:10" x14ac:dyDescent="0.25">
      <c r="E231" s="24"/>
      <c r="J231" s="24"/>
    </row>
    <row r="232" spans="5:10" x14ac:dyDescent="0.25">
      <c r="E232" s="24"/>
      <c r="J232" s="24"/>
    </row>
    <row r="233" spans="5:10" x14ac:dyDescent="0.25">
      <c r="E233" s="24"/>
      <c r="J233" s="24"/>
    </row>
    <row r="234" spans="5:10" x14ac:dyDescent="0.25">
      <c r="E234" s="24"/>
      <c r="J234" s="24"/>
    </row>
    <row r="235" spans="5:10" x14ac:dyDescent="0.25">
      <c r="E235" s="24"/>
      <c r="J235" s="24"/>
    </row>
    <row r="236" spans="5:10" x14ac:dyDescent="0.25">
      <c r="E236" s="24"/>
      <c r="J236" s="24"/>
    </row>
    <row r="237" spans="5:10" x14ac:dyDescent="0.25">
      <c r="E237" s="24"/>
      <c r="J237" s="24"/>
    </row>
    <row r="238" spans="5:10" x14ac:dyDescent="0.25">
      <c r="E238" s="24"/>
      <c r="J238" s="24"/>
    </row>
    <row r="239" spans="5:10" x14ac:dyDescent="0.25">
      <c r="E239" s="24"/>
      <c r="J239" s="24"/>
    </row>
    <row r="240" spans="5:10" x14ac:dyDescent="0.25">
      <c r="E240" s="24"/>
      <c r="J240" s="24"/>
    </row>
    <row r="241" spans="5:10" x14ac:dyDescent="0.25">
      <c r="E241" s="24"/>
      <c r="J241" s="24"/>
    </row>
    <row r="242" spans="5:10" x14ac:dyDescent="0.25">
      <c r="E242" s="24"/>
      <c r="J242" s="24"/>
    </row>
    <row r="243" spans="5:10" x14ac:dyDescent="0.25">
      <c r="E243" s="24"/>
      <c r="J243" s="24"/>
    </row>
    <row r="244" spans="5:10" x14ac:dyDescent="0.25">
      <c r="E244" s="24"/>
      <c r="J244" s="24"/>
    </row>
    <row r="245" spans="5:10" x14ac:dyDescent="0.25">
      <c r="E245" s="24"/>
      <c r="J245" s="24"/>
    </row>
    <row r="246" spans="5:10" x14ac:dyDescent="0.25">
      <c r="E246" s="24"/>
      <c r="J246" s="24"/>
    </row>
    <row r="247" spans="5:10" x14ac:dyDescent="0.25">
      <c r="E247" s="24"/>
      <c r="J247" s="24"/>
    </row>
    <row r="248" spans="5:10" x14ac:dyDescent="0.25">
      <c r="E248" s="24"/>
      <c r="J248" s="24"/>
    </row>
    <row r="249" spans="5:10" x14ac:dyDescent="0.25">
      <c r="E249" s="24"/>
      <c r="J249" s="24"/>
    </row>
    <row r="250" spans="5:10" x14ac:dyDescent="0.25">
      <c r="E250" s="24"/>
      <c r="J250" s="24"/>
    </row>
    <row r="251" spans="5:10" x14ac:dyDescent="0.25">
      <c r="E251" s="24"/>
      <c r="J251" s="24"/>
    </row>
    <row r="252" spans="5:10" x14ac:dyDescent="0.25">
      <c r="E252" s="24"/>
      <c r="J252" s="24"/>
    </row>
    <row r="253" spans="5:10" x14ac:dyDescent="0.25">
      <c r="E253" s="24"/>
      <c r="J253" s="24"/>
    </row>
    <row r="254" spans="5:10" x14ac:dyDescent="0.25">
      <c r="E254" s="24"/>
      <c r="J254" s="24"/>
    </row>
    <row r="255" spans="5:10" x14ac:dyDescent="0.25">
      <c r="E255" s="24"/>
      <c r="J255" s="24"/>
    </row>
    <row r="256" spans="5:10" x14ac:dyDescent="0.25">
      <c r="E256" s="24"/>
      <c r="J256" s="24"/>
    </row>
    <row r="257" spans="5:10" x14ac:dyDescent="0.25">
      <c r="E257" s="24"/>
      <c r="J257" s="24"/>
    </row>
    <row r="258" spans="5:10" x14ac:dyDescent="0.25">
      <c r="E258" s="24"/>
      <c r="J258" s="24"/>
    </row>
    <row r="259" spans="5:10" x14ac:dyDescent="0.25">
      <c r="E259" s="24"/>
      <c r="J259" s="24"/>
    </row>
    <row r="260" spans="5:10" x14ac:dyDescent="0.25">
      <c r="E260" s="24"/>
      <c r="J260" s="24"/>
    </row>
    <row r="261" spans="5:10" x14ac:dyDescent="0.25">
      <c r="E261" s="24"/>
      <c r="J261" s="24"/>
    </row>
    <row r="262" spans="5:10" x14ac:dyDescent="0.25">
      <c r="E262" s="24"/>
      <c r="J262" s="24"/>
    </row>
    <row r="263" spans="5:10" x14ac:dyDescent="0.25">
      <c r="E263" s="24"/>
      <c r="J263" s="24"/>
    </row>
    <row r="264" spans="5:10" x14ac:dyDescent="0.25">
      <c r="E264" s="24"/>
      <c r="J264" s="24"/>
    </row>
    <row r="265" spans="5:10" x14ac:dyDescent="0.25">
      <c r="E265" s="24"/>
      <c r="J265" s="24"/>
    </row>
    <row r="266" spans="5:10" x14ac:dyDescent="0.25">
      <c r="E266" s="24"/>
      <c r="J266" s="24"/>
    </row>
    <row r="267" spans="5:10" x14ac:dyDescent="0.25">
      <c r="E267" s="24"/>
      <c r="J267" s="24"/>
    </row>
    <row r="268" spans="5:10" x14ac:dyDescent="0.25">
      <c r="E268" s="24"/>
      <c r="J268" s="24"/>
    </row>
    <row r="269" spans="5:10" x14ac:dyDescent="0.25">
      <c r="E269" s="24"/>
      <c r="J269" s="24"/>
    </row>
    <row r="270" spans="5:10" x14ac:dyDescent="0.25">
      <c r="E270" s="24"/>
      <c r="J270" s="24"/>
    </row>
    <row r="271" spans="5:10" x14ac:dyDescent="0.25">
      <c r="E271" s="24"/>
      <c r="J271" s="24"/>
    </row>
    <row r="272" spans="5:10" x14ac:dyDescent="0.25">
      <c r="E272" s="24"/>
      <c r="J272" s="24"/>
    </row>
    <row r="273" spans="5:10" x14ac:dyDescent="0.25">
      <c r="E273" s="24"/>
      <c r="J273" s="24"/>
    </row>
    <row r="274" spans="5:10" x14ac:dyDescent="0.25">
      <c r="E274" s="24"/>
      <c r="J274" s="24"/>
    </row>
    <row r="275" spans="5:10" x14ac:dyDescent="0.25">
      <c r="E275" s="24"/>
      <c r="J275" s="24"/>
    </row>
    <row r="276" spans="5:10" x14ac:dyDescent="0.25">
      <c r="E276" s="24"/>
      <c r="J276" s="24"/>
    </row>
    <row r="277" spans="5:10" x14ac:dyDescent="0.25">
      <c r="E277" s="24"/>
      <c r="J277" s="24"/>
    </row>
    <row r="278" spans="5:10" x14ac:dyDescent="0.25">
      <c r="E278" s="24"/>
      <c r="J278" s="24"/>
    </row>
    <row r="279" spans="5:10" x14ac:dyDescent="0.25">
      <c r="E279" s="24"/>
      <c r="J279" s="24"/>
    </row>
    <row r="280" spans="5:10" x14ac:dyDescent="0.25">
      <c r="E280" s="24"/>
      <c r="J280" s="24"/>
    </row>
    <row r="281" spans="5:10" x14ac:dyDescent="0.25">
      <c r="E281" s="24"/>
      <c r="J281" s="24"/>
    </row>
    <row r="282" spans="5:10" x14ac:dyDescent="0.25">
      <c r="E282" s="24"/>
      <c r="J282" s="24"/>
    </row>
    <row r="283" spans="5:10" x14ac:dyDescent="0.25">
      <c r="E283" s="24"/>
      <c r="J283" s="24"/>
    </row>
    <row r="284" spans="5:10" x14ac:dyDescent="0.25">
      <c r="E284" s="24"/>
      <c r="J284" s="24"/>
    </row>
    <row r="285" spans="5:10" x14ac:dyDescent="0.25">
      <c r="E285" s="24"/>
      <c r="J285" s="24"/>
    </row>
    <row r="286" spans="5:10" x14ac:dyDescent="0.25">
      <c r="E286" s="24"/>
      <c r="J286" s="24"/>
    </row>
    <row r="287" spans="5:10" x14ac:dyDescent="0.25">
      <c r="E287" s="24"/>
      <c r="J287" s="24"/>
    </row>
    <row r="288" spans="5:10" x14ac:dyDescent="0.25">
      <c r="E288" s="24"/>
      <c r="J288" s="24"/>
    </row>
    <row r="289" spans="5:10" x14ac:dyDescent="0.25">
      <c r="E289" s="24"/>
      <c r="J289" s="24"/>
    </row>
    <row r="290" spans="5:10" x14ac:dyDescent="0.25">
      <c r="E290" s="24"/>
      <c r="J290" s="24"/>
    </row>
    <row r="291" spans="5:10" x14ac:dyDescent="0.25">
      <c r="E291" s="24"/>
      <c r="J291" s="24"/>
    </row>
    <row r="292" spans="5:10" x14ac:dyDescent="0.25">
      <c r="E292" s="24"/>
      <c r="J292" s="24"/>
    </row>
    <row r="293" spans="5:10" x14ac:dyDescent="0.25">
      <c r="E293" s="24"/>
      <c r="J293" s="24"/>
    </row>
    <row r="294" spans="5:10" x14ac:dyDescent="0.25">
      <c r="E294" s="24"/>
      <c r="J294" s="24"/>
    </row>
    <row r="295" spans="5:10" x14ac:dyDescent="0.25">
      <c r="E295" s="24"/>
      <c r="J295" s="24"/>
    </row>
    <row r="296" spans="5:10" x14ac:dyDescent="0.25">
      <c r="E296" s="24"/>
      <c r="J296" s="24"/>
    </row>
    <row r="297" spans="5:10" x14ac:dyDescent="0.25">
      <c r="E297" s="24"/>
      <c r="J297" s="24"/>
    </row>
    <row r="298" spans="5:10" x14ac:dyDescent="0.25">
      <c r="E298" s="24"/>
      <c r="J298" s="24"/>
    </row>
    <row r="299" spans="5:10" x14ac:dyDescent="0.25">
      <c r="E299" s="24"/>
      <c r="J299" s="24"/>
    </row>
    <row r="300" spans="5:10" x14ac:dyDescent="0.25">
      <c r="E300" s="24"/>
      <c r="J300" s="24"/>
    </row>
    <row r="301" spans="5:10" x14ac:dyDescent="0.25">
      <c r="E301" s="24"/>
      <c r="J301" s="24"/>
    </row>
    <row r="302" spans="5:10" x14ac:dyDescent="0.25">
      <c r="E302" s="24"/>
      <c r="J302" s="24"/>
    </row>
    <row r="303" spans="5:10" x14ac:dyDescent="0.25">
      <c r="E303" s="24"/>
      <c r="J303" s="24"/>
    </row>
    <row r="304" spans="5:10" x14ac:dyDescent="0.25">
      <c r="E304" s="24"/>
      <c r="J304" s="24"/>
    </row>
    <row r="305" spans="5:10" x14ac:dyDescent="0.25">
      <c r="E305" s="24"/>
      <c r="J305" s="24"/>
    </row>
    <row r="306" spans="5:10" x14ac:dyDescent="0.25">
      <c r="E306" s="24"/>
      <c r="J306" s="24"/>
    </row>
    <row r="307" spans="5:10" x14ac:dyDescent="0.25">
      <c r="E307" s="24"/>
      <c r="J307" s="24"/>
    </row>
    <row r="308" spans="5:10" x14ac:dyDescent="0.25">
      <c r="E308" s="24"/>
      <c r="J308" s="24"/>
    </row>
    <row r="309" spans="5:10" x14ac:dyDescent="0.25">
      <c r="E309" s="24"/>
      <c r="J309" s="24"/>
    </row>
    <row r="310" spans="5:10" x14ac:dyDescent="0.25">
      <c r="E310" s="24"/>
      <c r="J310" s="24"/>
    </row>
    <row r="311" spans="5:10" x14ac:dyDescent="0.25">
      <c r="E311" s="24"/>
      <c r="J311" s="24"/>
    </row>
    <row r="312" spans="5:10" x14ac:dyDescent="0.25">
      <c r="E312" s="24"/>
      <c r="J312" s="24"/>
    </row>
    <row r="313" spans="5:10" x14ac:dyDescent="0.25">
      <c r="E313" s="24"/>
      <c r="J313" s="24"/>
    </row>
    <row r="314" spans="5:10" x14ac:dyDescent="0.25">
      <c r="E314" s="24"/>
      <c r="J314" s="24"/>
    </row>
    <row r="315" spans="5:10" x14ac:dyDescent="0.25">
      <c r="E315" s="24"/>
      <c r="J315" s="24"/>
    </row>
    <row r="316" spans="5:10" x14ac:dyDescent="0.25">
      <c r="E316" s="24"/>
      <c r="J316" s="24"/>
    </row>
    <row r="317" spans="5:10" x14ac:dyDescent="0.25">
      <c r="E317" s="24"/>
      <c r="J317" s="24"/>
    </row>
    <row r="318" spans="5:10" x14ac:dyDescent="0.25">
      <c r="E318" s="24"/>
      <c r="J318" s="24"/>
    </row>
    <row r="319" spans="5:10" x14ac:dyDescent="0.25">
      <c r="E319" s="24"/>
      <c r="J319" s="24"/>
    </row>
    <row r="320" spans="5:10" x14ac:dyDescent="0.25">
      <c r="E320" s="24"/>
      <c r="J320" s="24"/>
    </row>
    <row r="321" spans="5:10" x14ac:dyDescent="0.25">
      <c r="E321" s="24"/>
      <c r="J321" s="24"/>
    </row>
    <row r="322" spans="5:10" x14ac:dyDescent="0.25">
      <c r="E322" s="24"/>
      <c r="J322" s="24"/>
    </row>
    <row r="323" spans="5:10" x14ac:dyDescent="0.25">
      <c r="E323" s="24"/>
      <c r="J323" s="24"/>
    </row>
    <row r="324" spans="5:10" x14ac:dyDescent="0.25">
      <c r="E324" s="24"/>
      <c r="J324" s="24"/>
    </row>
    <row r="325" spans="5:10" x14ac:dyDescent="0.25">
      <c r="E325" s="24"/>
      <c r="J325" s="24"/>
    </row>
    <row r="326" spans="5:10" x14ac:dyDescent="0.25">
      <c r="E326" s="24"/>
      <c r="J326" s="24"/>
    </row>
    <row r="327" spans="5:10" x14ac:dyDescent="0.25">
      <c r="E327" s="24"/>
      <c r="J327" s="24"/>
    </row>
    <row r="328" spans="5:10" x14ac:dyDescent="0.25">
      <c r="E328" s="24"/>
      <c r="J328" s="24"/>
    </row>
    <row r="329" spans="5:10" x14ac:dyDescent="0.25">
      <c r="E329" s="24"/>
      <c r="J329" s="24"/>
    </row>
    <row r="330" spans="5:10" x14ac:dyDescent="0.25">
      <c r="E330" s="24"/>
      <c r="J330" s="24"/>
    </row>
    <row r="331" spans="5:10" x14ac:dyDescent="0.25">
      <c r="E331" s="24"/>
      <c r="J331" s="24"/>
    </row>
    <row r="332" spans="5:10" x14ac:dyDescent="0.25">
      <c r="E332" s="24"/>
      <c r="J332" s="24"/>
    </row>
    <row r="333" spans="5:10" x14ac:dyDescent="0.25">
      <c r="E333" s="24"/>
      <c r="J333" s="24"/>
    </row>
    <row r="334" spans="5:10" x14ac:dyDescent="0.25">
      <c r="E334" s="24"/>
      <c r="J334" s="24"/>
    </row>
    <row r="335" spans="5:10" x14ac:dyDescent="0.25">
      <c r="E335" s="24"/>
      <c r="J335" s="24"/>
    </row>
    <row r="336" spans="5:10" x14ac:dyDescent="0.25">
      <c r="E336" s="24"/>
      <c r="J336" s="24"/>
    </row>
    <row r="337" spans="5:10" x14ac:dyDescent="0.25">
      <c r="E337" s="24"/>
      <c r="J337" s="24"/>
    </row>
    <row r="338" spans="5:10" x14ac:dyDescent="0.25">
      <c r="E338" s="24"/>
      <c r="J338" s="24"/>
    </row>
    <row r="339" spans="5:10" x14ac:dyDescent="0.25">
      <c r="E339" s="24"/>
      <c r="J339" s="24"/>
    </row>
    <row r="340" spans="5:10" x14ac:dyDescent="0.25">
      <c r="E340" s="24"/>
      <c r="J340" s="24"/>
    </row>
    <row r="341" spans="5:10" x14ac:dyDescent="0.25">
      <c r="E341" s="24"/>
      <c r="J341" s="24"/>
    </row>
    <row r="342" spans="5:10" x14ac:dyDescent="0.25">
      <c r="E342" s="24"/>
      <c r="J342" s="24"/>
    </row>
    <row r="343" spans="5:10" x14ac:dyDescent="0.25">
      <c r="E343" s="24"/>
      <c r="J343" s="24"/>
    </row>
    <row r="344" spans="5:10" x14ac:dyDescent="0.25">
      <c r="E344" s="24"/>
      <c r="J344" s="24"/>
    </row>
    <row r="345" spans="5:10" x14ac:dyDescent="0.25">
      <c r="E345" s="24"/>
      <c r="J345" s="24"/>
    </row>
    <row r="346" spans="5:10" x14ac:dyDescent="0.25">
      <c r="E346" s="24"/>
      <c r="J346" s="24"/>
    </row>
    <row r="347" spans="5:10" x14ac:dyDescent="0.25">
      <c r="E347" s="24"/>
      <c r="J347" s="24"/>
    </row>
    <row r="348" spans="5:10" x14ac:dyDescent="0.25">
      <c r="E348" s="24"/>
      <c r="J348" s="24"/>
    </row>
    <row r="349" spans="5:10" x14ac:dyDescent="0.25">
      <c r="E349" s="24"/>
      <c r="J349" s="24"/>
    </row>
    <row r="350" spans="5:10" x14ac:dyDescent="0.25">
      <c r="E350" s="24"/>
      <c r="J350" s="24"/>
    </row>
    <row r="351" spans="5:10" x14ac:dyDescent="0.25">
      <c r="E351" s="24"/>
      <c r="J351" s="24"/>
    </row>
    <row r="352" spans="5:10" x14ac:dyDescent="0.25">
      <c r="E352" s="24"/>
      <c r="J352" s="24"/>
    </row>
    <row r="353" spans="5:10" x14ac:dyDescent="0.25">
      <c r="E353" s="24"/>
      <c r="J353" s="24"/>
    </row>
    <row r="354" spans="5:10" x14ac:dyDescent="0.25">
      <c r="E354" s="24"/>
      <c r="J354" s="24"/>
    </row>
    <row r="355" spans="5:10" x14ac:dyDescent="0.25">
      <c r="E355" s="24"/>
      <c r="J355" s="24"/>
    </row>
    <row r="356" spans="5:10" x14ac:dyDescent="0.25">
      <c r="E356" s="24"/>
      <c r="J356" s="24"/>
    </row>
    <row r="357" spans="5:10" x14ac:dyDescent="0.25">
      <c r="E357" s="24"/>
      <c r="J357" s="24"/>
    </row>
    <row r="358" spans="5:10" x14ac:dyDescent="0.25">
      <c r="E358" s="24"/>
      <c r="J358" s="24"/>
    </row>
    <row r="359" spans="5:10" x14ac:dyDescent="0.25">
      <c r="E359" s="24"/>
      <c r="J359" s="24"/>
    </row>
    <row r="360" spans="5:10" x14ac:dyDescent="0.25">
      <c r="E360" s="24"/>
      <c r="J360" s="24"/>
    </row>
    <row r="361" spans="5:10" x14ac:dyDescent="0.25">
      <c r="E361" s="24"/>
      <c r="J361" s="24"/>
    </row>
    <row r="362" spans="5:10" x14ac:dyDescent="0.25">
      <c r="E362" s="24"/>
      <c r="J362" s="24"/>
    </row>
    <row r="363" spans="5:10" x14ac:dyDescent="0.25">
      <c r="E363" s="24"/>
      <c r="J363" s="24"/>
    </row>
    <row r="364" spans="5:10" x14ac:dyDescent="0.25">
      <c r="E364" s="24"/>
      <c r="J364" s="24"/>
    </row>
    <row r="365" spans="5:10" x14ac:dyDescent="0.25">
      <c r="E365" s="24"/>
      <c r="J365" s="24"/>
    </row>
    <row r="366" spans="5:10" x14ac:dyDescent="0.25">
      <c r="E366" s="24"/>
      <c r="J366" s="24"/>
    </row>
    <row r="367" spans="5:10" x14ac:dyDescent="0.25">
      <c r="E367" s="24"/>
      <c r="J367" s="24"/>
    </row>
    <row r="368" spans="5:10" x14ac:dyDescent="0.25">
      <c r="E368" s="24"/>
      <c r="J368" s="24"/>
    </row>
    <row r="369" spans="5:10" x14ac:dyDescent="0.25">
      <c r="E369" s="24"/>
      <c r="J369" s="24"/>
    </row>
    <row r="370" spans="5:10" x14ac:dyDescent="0.25">
      <c r="E370" s="24"/>
      <c r="J370" s="24"/>
    </row>
    <row r="371" spans="5:10" x14ac:dyDescent="0.25">
      <c r="E371" s="24"/>
      <c r="J371" s="24"/>
    </row>
    <row r="372" spans="5:10" x14ac:dyDescent="0.25">
      <c r="E372" s="24"/>
      <c r="J372" s="24"/>
    </row>
    <row r="373" spans="5:10" x14ac:dyDescent="0.25">
      <c r="E373" s="24"/>
      <c r="J373" s="24"/>
    </row>
    <row r="374" spans="5:10" x14ac:dyDescent="0.25">
      <c r="E374" s="24"/>
      <c r="J374" s="24"/>
    </row>
    <row r="375" spans="5:10" x14ac:dyDescent="0.25">
      <c r="E375" s="24"/>
      <c r="J375" s="24"/>
    </row>
    <row r="376" spans="5:10" x14ac:dyDescent="0.25">
      <c r="E376" s="24"/>
      <c r="J376" s="24"/>
    </row>
    <row r="377" spans="5:10" x14ac:dyDescent="0.25">
      <c r="E377" s="24"/>
      <c r="J377" s="24"/>
    </row>
    <row r="378" spans="5:10" x14ac:dyDescent="0.25">
      <c r="E378" s="24"/>
      <c r="J378" s="24"/>
    </row>
    <row r="379" spans="5:10" x14ac:dyDescent="0.25">
      <c r="E379" s="24"/>
      <c r="J379" s="24"/>
    </row>
    <row r="380" spans="5:10" x14ac:dyDescent="0.25">
      <c r="E380" s="24"/>
      <c r="J380" s="24"/>
    </row>
    <row r="381" spans="5:10" x14ac:dyDescent="0.25">
      <c r="E381" s="24"/>
      <c r="J381" s="24"/>
    </row>
    <row r="382" spans="5:10" x14ac:dyDescent="0.25">
      <c r="E382" s="24"/>
      <c r="J382" s="24"/>
    </row>
    <row r="383" spans="5:10" x14ac:dyDescent="0.25">
      <c r="E383" s="24"/>
      <c r="J383" s="24"/>
    </row>
    <row r="384" spans="5:10" x14ac:dyDescent="0.25">
      <c r="E384" s="24"/>
      <c r="J384" s="24"/>
    </row>
    <row r="385" spans="5:10" x14ac:dyDescent="0.25">
      <c r="E385" s="24"/>
      <c r="J385" s="24"/>
    </row>
    <row r="386" spans="5:10" x14ac:dyDescent="0.25">
      <c r="E386" s="24"/>
      <c r="J386" s="24"/>
    </row>
    <row r="387" spans="5:10" x14ac:dyDescent="0.25">
      <c r="E387" s="24"/>
      <c r="J387" s="24"/>
    </row>
    <row r="388" spans="5:10" x14ac:dyDescent="0.25">
      <c r="E388" s="24"/>
      <c r="J388" s="24"/>
    </row>
    <row r="389" spans="5:10" x14ac:dyDescent="0.25">
      <c r="E389" s="24"/>
      <c r="J389" s="24"/>
    </row>
    <row r="390" spans="5:10" x14ac:dyDescent="0.25">
      <c r="E390" s="24"/>
      <c r="J390" s="24"/>
    </row>
    <row r="391" spans="5:10" x14ac:dyDescent="0.25">
      <c r="E391" s="24"/>
      <c r="J391" s="24"/>
    </row>
    <row r="392" spans="5:10" x14ac:dyDescent="0.25">
      <c r="E392" s="24"/>
      <c r="J392" s="24"/>
    </row>
    <row r="393" spans="5:10" x14ac:dyDescent="0.25">
      <c r="E393" s="24"/>
      <c r="J393" s="24"/>
    </row>
    <row r="394" spans="5:10" x14ac:dyDescent="0.25">
      <c r="E394" s="24"/>
      <c r="J394" s="24"/>
    </row>
    <row r="395" spans="5:10" x14ac:dyDescent="0.25">
      <c r="E395" s="24"/>
      <c r="J395" s="24"/>
    </row>
    <row r="396" spans="5:10" x14ac:dyDescent="0.25">
      <c r="E396" s="24"/>
      <c r="J396" s="24"/>
    </row>
    <row r="397" spans="5:10" x14ac:dyDescent="0.25">
      <c r="E397" s="24"/>
      <c r="J397" s="24"/>
    </row>
    <row r="398" spans="5:10" x14ac:dyDescent="0.25">
      <c r="E398" s="24"/>
      <c r="J398" s="24"/>
    </row>
    <row r="399" spans="5:10" x14ac:dyDescent="0.25">
      <c r="E399" s="24"/>
      <c r="J399" s="24"/>
    </row>
    <row r="400" spans="5:10" x14ac:dyDescent="0.25">
      <c r="E400" s="24"/>
      <c r="J400" s="24"/>
    </row>
    <row r="401" spans="5:10" x14ac:dyDescent="0.25">
      <c r="E401" s="24"/>
      <c r="J401" s="24"/>
    </row>
    <row r="402" spans="5:10" x14ac:dyDescent="0.25">
      <c r="E402" s="24"/>
      <c r="J402" s="24"/>
    </row>
    <row r="403" spans="5:10" x14ac:dyDescent="0.25">
      <c r="E403" s="24"/>
      <c r="J403" s="24"/>
    </row>
    <row r="404" spans="5:10" x14ac:dyDescent="0.25">
      <c r="E404" s="24"/>
      <c r="J404" s="24"/>
    </row>
    <row r="405" spans="5:10" x14ac:dyDescent="0.25">
      <c r="E405" s="24"/>
      <c r="J405" s="24"/>
    </row>
    <row r="406" spans="5:10" x14ac:dyDescent="0.25">
      <c r="E406" s="24"/>
      <c r="J406" s="24"/>
    </row>
    <row r="407" spans="5:10" x14ac:dyDescent="0.25">
      <c r="E407" s="24"/>
      <c r="J407" s="24"/>
    </row>
    <row r="408" spans="5:10" x14ac:dyDescent="0.25">
      <c r="E408" s="24"/>
      <c r="J408" s="24"/>
    </row>
    <row r="409" spans="5:10" x14ac:dyDescent="0.25">
      <c r="E409" s="24"/>
      <c r="J409" s="24"/>
    </row>
    <row r="410" spans="5:10" x14ac:dyDescent="0.25">
      <c r="E410" s="24"/>
      <c r="J410" s="24"/>
    </row>
    <row r="411" spans="5:10" x14ac:dyDescent="0.25">
      <c r="E411" s="24"/>
      <c r="J411" s="24"/>
    </row>
    <row r="412" spans="5:10" x14ac:dyDescent="0.25">
      <c r="E412" s="24"/>
      <c r="J412" s="24"/>
    </row>
    <row r="413" spans="5:10" x14ac:dyDescent="0.25">
      <c r="E413" s="24"/>
      <c r="J413" s="24"/>
    </row>
    <row r="414" spans="5:10" x14ac:dyDescent="0.25">
      <c r="E414" s="24"/>
      <c r="J414" s="24"/>
    </row>
    <row r="415" spans="5:10" x14ac:dyDescent="0.25">
      <c r="E415" s="24"/>
      <c r="J415" s="24"/>
    </row>
    <row r="416" spans="5:10" x14ac:dyDescent="0.25">
      <c r="E416" s="24"/>
      <c r="J416" s="24"/>
    </row>
    <row r="417" spans="5:10" x14ac:dyDescent="0.25">
      <c r="E417" s="24"/>
      <c r="J417" s="24"/>
    </row>
    <row r="418" spans="5:10" x14ac:dyDescent="0.25">
      <c r="E418" s="24"/>
      <c r="J418" s="24"/>
    </row>
    <row r="419" spans="5:10" x14ac:dyDescent="0.25">
      <c r="E419" s="24"/>
      <c r="J419" s="24"/>
    </row>
    <row r="420" spans="5:10" x14ac:dyDescent="0.25">
      <c r="E420" s="24"/>
      <c r="J420" s="24"/>
    </row>
    <row r="421" spans="5:10" x14ac:dyDescent="0.25">
      <c r="E421" s="24"/>
      <c r="J421" s="24"/>
    </row>
    <row r="422" spans="5:10" x14ac:dyDescent="0.25">
      <c r="E422" s="24"/>
      <c r="J422" s="24"/>
    </row>
    <row r="423" spans="5:10" x14ac:dyDescent="0.25">
      <c r="E423" s="24"/>
      <c r="J423" s="24"/>
    </row>
    <row r="424" spans="5:10" x14ac:dyDescent="0.25">
      <c r="E424" s="24"/>
      <c r="J424" s="24"/>
    </row>
    <row r="425" spans="5:10" x14ac:dyDescent="0.25">
      <c r="E425" s="24"/>
      <c r="J425" s="24"/>
    </row>
    <row r="426" spans="5:10" x14ac:dyDescent="0.25">
      <c r="E426" s="24"/>
      <c r="J426" s="24"/>
    </row>
    <row r="427" spans="5:10" x14ac:dyDescent="0.25">
      <c r="E427" s="24"/>
      <c r="J427" s="24"/>
    </row>
    <row r="428" spans="5:10" x14ac:dyDescent="0.25">
      <c r="E428" s="24"/>
      <c r="J428" s="24"/>
    </row>
    <row r="429" spans="5:10" x14ac:dyDescent="0.25">
      <c r="E429" s="24"/>
      <c r="J429" s="24"/>
    </row>
    <row r="430" spans="5:10" x14ac:dyDescent="0.25">
      <c r="E430" s="24"/>
      <c r="J430" s="24"/>
    </row>
    <row r="431" spans="5:10" x14ac:dyDescent="0.25">
      <c r="E431" s="24"/>
      <c r="J431" s="24"/>
    </row>
    <row r="432" spans="5:10" x14ac:dyDescent="0.25">
      <c r="E432" s="24"/>
      <c r="J432" s="24"/>
    </row>
    <row r="433" spans="5:10" x14ac:dyDescent="0.25">
      <c r="E433" s="24"/>
      <c r="J433" s="24"/>
    </row>
    <row r="434" spans="5:10" x14ac:dyDescent="0.25">
      <c r="E434" s="24"/>
      <c r="J434" s="24"/>
    </row>
    <row r="435" spans="5:10" x14ac:dyDescent="0.25">
      <c r="E435" s="24"/>
      <c r="J435" s="24"/>
    </row>
    <row r="436" spans="5:10" x14ac:dyDescent="0.25">
      <c r="E436" s="24"/>
      <c r="J436" s="24"/>
    </row>
    <row r="437" spans="5:10" x14ac:dyDescent="0.25">
      <c r="E437" s="24"/>
      <c r="J437" s="24"/>
    </row>
    <row r="438" spans="5:10" x14ac:dyDescent="0.25">
      <c r="E438" s="24"/>
      <c r="J438" s="24"/>
    </row>
    <row r="439" spans="5:10" x14ac:dyDescent="0.25">
      <c r="E439" s="24"/>
      <c r="J439" s="24"/>
    </row>
    <row r="440" spans="5:10" x14ac:dyDescent="0.25">
      <c r="E440" s="24"/>
      <c r="J440" s="24"/>
    </row>
    <row r="441" spans="5:10" x14ac:dyDescent="0.25">
      <c r="E441" s="24"/>
      <c r="J441" s="24"/>
    </row>
    <row r="442" spans="5:10" x14ac:dyDescent="0.25">
      <c r="E442" s="24"/>
      <c r="J442" s="24"/>
    </row>
    <row r="443" spans="5:10" x14ac:dyDescent="0.25">
      <c r="E443" s="24"/>
      <c r="J443" s="24"/>
    </row>
    <row r="444" spans="5:10" x14ac:dyDescent="0.25">
      <c r="E444" s="24"/>
      <c r="J444" s="24"/>
    </row>
    <row r="445" spans="5:10" x14ac:dyDescent="0.25">
      <c r="E445" s="24"/>
      <c r="J445" s="24"/>
    </row>
    <row r="446" spans="5:10" x14ac:dyDescent="0.25">
      <c r="E446" s="24"/>
      <c r="J446" s="24"/>
    </row>
    <row r="447" spans="5:10" x14ac:dyDescent="0.25">
      <c r="E447" s="24"/>
      <c r="J447" s="24"/>
    </row>
    <row r="448" spans="5:10" x14ac:dyDescent="0.25">
      <c r="E448" s="24"/>
      <c r="J448" s="24"/>
    </row>
    <row r="449" spans="5:10" x14ac:dyDescent="0.25">
      <c r="E449" s="24"/>
      <c r="J449" s="24"/>
    </row>
    <row r="450" spans="5:10" x14ac:dyDescent="0.25">
      <c r="E450" s="24"/>
      <c r="J450" s="24"/>
    </row>
    <row r="451" spans="5:10" x14ac:dyDescent="0.25">
      <c r="E451" s="24"/>
      <c r="J451" s="24"/>
    </row>
    <row r="452" spans="5:10" x14ac:dyDescent="0.25">
      <c r="E452" s="24"/>
      <c r="J452" s="24"/>
    </row>
    <row r="453" spans="5:10" x14ac:dyDescent="0.25">
      <c r="E453" s="24"/>
      <c r="J453" s="24"/>
    </row>
    <row r="454" spans="5:10" x14ac:dyDescent="0.25">
      <c r="E454" s="24"/>
      <c r="J454" s="24"/>
    </row>
    <row r="455" spans="5:10" x14ac:dyDescent="0.25">
      <c r="E455" s="24"/>
      <c r="J455" s="24"/>
    </row>
    <row r="456" spans="5:10" x14ac:dyDescent="0.25">
      <c r="E456" s="24"/>
      <c r="J456" s="24"/>
    </row>
    <row r="457" spans="5:10" x14ac:dyDescent="0.25">
      <c r="E457" s="24"/>
      <c r="J457" s="24"/>
    </row>
    <row r="458" spans="5:10" x14ac:dyDescent="0.25">
      <c r="E458" s="24"/>
      <c r="J458" s="24"/>
    </row>
    <row r="459" spans="5:10" x14ac:dyDescent="0.25">
      <c r="E459" s="24"/>
      <c r="J459" s="24"/>
    </row>
    <row r="460" spans="5:10" x14ac:dyDescent="0.25">
      <c r="E460" s="24"/>
      <c r="J460" s="24"/>
    </row>
    <row r="461" spans="5:10" x14ac:dyDescent="0.25">
      <c r="E461" s="24"/>
      <c r="J461" s="24"/>
    </row>
    <row r="462" spans="5:10" x14ac:dyDescent="0.25">
      <c r="E462" s="24"/>
      <c r="J462" s="24"/>
    </row>
    <row r="463" spans="5:10" x14ac:dyDescent="0.25">
      <c r="E463" s="24"/>
      <c r="J463" s="24"/>
    </row>
    <row r="464" spans="5:10" x14ac:dyDescent="0.25">
      <c r="E464" s="24"/>
      <c r="J464" s="24"/>
    </row>
    <row r="465" spans="5:10" x14ac:dyDescent="0.25">
      <c r="E465" s="24"/>
      <c r="J465" s="24"/>
    </row>
    <row r="466" spans="5:10" x14ac:dyDescent="0.25">
      <c r="E466" s="24"/>
      <c r="J466" s="24"/>
    </row>
    <row r="467" spans="5:10" x14ac:dyDescent="0.25">
      <c r="E467" s="24"/>
      <c r="J467" s="24"/>
    </row>
    <row r="468" spans="5:10" x14ac:dyDescent="0.25">
      <c r="E468" s="24"/>
      <c r="J468" s="24"/>
    </row>
    <row r="469" spans="5:10" x14ac:dyDescent="0.25">
      <c r="E469" s="24"/>
      <c r="J469" s="24"/>
    </row>
    <row r="470" spans="5:10" x14ac:dyDescent="0.25">
      <c r="E470" s="24"/>
      <c r="J470" s="24"/>
    </row>
    <row r="471" spans="5:10" x14ac:dyDescent="0.25">
      <c r="E471" s="24"/>
      <c r="J471" s="24"/>
    </row>
    <row r="472" spans="5:10" x14ac:dyDescent="0.25">
      <c r="E472" s="24"/>
      <c r="J472" s="24"/>
    </row>
    <row r="473" spans="5:10" x14ac:dyDescent="0.25">
      <c r="E473" s="24"/>
      <c r="J473" s="24"/>
    </row>
    <row r="474" spans="5:10" x14ac:dyDescent="0.25">
      <c r="E474" s="24"/>
      <c r="J474" s="24"/>
    </row>
    <row r="475" spans="5:10" x14ac:dyDescent="0.25">
      <c r="E475" s="24"/>
      <c r="J475" s="24"/>
    </row>
    <row r="476" spans="5:10" x14ac:dyDescent="0.25">
      <c r="E476" s="24"/>
      <c r="J476" s="24"/>
    </row>
    <row r="477" spans="5:10" x14ac:dyDescent="0.25">
      <c r="E477" s="24"/>
      <c r="J477" s="24"/>
    </row>
    <row r="478" spans="5:10" x14ac:dyDescent="0.25">
      <c r="E478" s="24"/>
      <c r="J478" s="24"/>
    </row>
    <row r="479" spans="5:10" x14ac:dyDescent="0.25">
      <c r="E479" s="24"/>
      <c r="J479" s="24"/>
    </row>
    <row r="480" spans="5:10" x14ac:dyDescent="0.25">
      <c r="E480" s="24"/>
      <c r="J480" s="24"/>
    </row>
    <row r="481" spans="5:10" x14ac:dyDescent="0.25">
      <c r="E481" s="24"/>
      <c r="J481" s="24"/>
    </row>
    <row r="482" spans="5:10" x14ac:dyDescent="0.25">
      <c r="E482" s="24"/>
      <c r="J482" s="24"/>
    </row>
    <row r="483" spans="5:10" x14ac:dyDescent="0.25">
      <c r="E483" s="24"/>
      <c r="J483" s="24"/>
    </row>
    <row r="484" spans="5:10" x14ac:dyDescent="0.25">
      <c r="E484" s="24"/>
      <c r="J484" s="24"/>
    </row>
    <row r="485" spans="5:10" x14ac:dyDescent="0.25">
      <c r="E485" s="24"/>
      <c r="J485" s="24"/>
    </row>
    <row r="486" spans="5:10" x14ac:dyDescent="0.25">
      <c r="E486" s="24"/>
      <c r="J486" s="24"/>
    </row>
    <row r="487" spans="5:10" x14ac:dyDescent="0.25">
      <c r="E487" s="24"/>
      <c r="J487" s="24"/>
    </row>
    <row r="488" spans="5:10" x14ac:dyDescent="0.25">
      <c r="E488" s="24"/>
      <c r="J488" s="24"/>
    </row>
    <row r="489" spans="5:10" x14ac:dyDescent="0.25">
      <c r="E489" s="24"/>
      <c r="J489" s="24"/>
    </row>
    <row r="490" spans="5:10" x14ac:dyDescent="0.25">
      <c r="E490" s="24"/>
      <c r="J490" s="24"/>
    </row>
    <row r="491" spans="5:10" x14ac:dyDescent="0.25">
      <c r="E491" s="24"/>
      <c r="J491" s="24"/>
    </row>
    <row r="492" spans="5:10" x14ac:dyDescent="0.25">
      <c r="E492" s="24"/>
      <c r="J492" s="24"/>
    </row>
    <row r="493" spans="5:10" x14ac:dyDescent="0.25">
      <c r="E493" s="24"/>
      <c r="J493" s="24"/>
    </row>
    <row r="494" spans="5:10" x14ac:dyDescent="0.25">
      <c r="E494" s="24"/>
      <c r="J494" s="24"/>
    </row>
    <row r="495" spans="5:10" x14ac:dyDescent="0.25">
      <c r="E495" s="24"/>
      <c r="J495" s="24"/>
    </row>
    <row r="496" spans="5:10" x14ac:dyDescent="0.25">
      <c r="E496" s="24"/>
      <c r="J496" s="24"/>
    </row>
    <row r="497" spans="5:10" x14ac:dyDescent="0.25">
      <c r="E497" s="24"/>
      <c r="J497" s="24"/>
    </row>
    <row r="498" spans="5:10" x14ac:dyDescent="0.25">
      <c r="E498" s="24"/>
      <c r="J498" s="24"/>
    </row>
    <row r="499" spans="5:10" x14ac:dyDescent="0.25">
      <c r="E499" s="24"/>
      <c r="J499" s="24"/>
    </row>
    <row r="500" spans="5:10" x14ac:dyDescent="0.25">
      <c r="E500" s="24"/>
      <c r="J500" s="24"/>
    </row>
    <row r="501" spans="5:10" x14ac:dyDescent="0.25">
      <c r="E501" s="24"/>
      <c r="J501" s="24"/>
    </row>
    <row r="502" spans="5:10" x14ac:dyDescent="0.25">
      <c r="E502" s="24"/>
      <c r="J502" s="24"/>
    </row>
    <row r="503" spans="5:10" x14ac:dyDescent="0.25">
      <c r="E503" s="24"/>
      <c r="J503" s="24"/>
    </row>
    <row r="504" spans="5:10" x14ac:dyDescent="0.25">
      <c r="E504" s="24"/>
      <c r="J504" s="24"/>
    </row>
    <row r="505" spans="5:10" x14ac:dyDescent="0.25">
      <c r="E505" s="24"/>
      <c r="J505" s="24"/>
    </row>
    <row r="506" spans="5:10" x14ac:dyDescent="0.25">
      <c r="E506" s="24"/>
      <c r="J506" s="24"/>
    </row>
    <row r="507" spans="5:10" x14ac:dyDescent="0.25">
      <c r="E507" s="24"/>
      <c r="J507" s="24"/>
    </row>
    <row r="508" spans="5:10" x14ac:dyDescent="0.25">
      <c r="E508" s="24"/>
      <c r="J508" s="24"/>
    </row>
    <row r="509" spans="5:10" x14ac:dyDescent="0.25">
      <c r="E509" s="24"/>
      <c r="J509" s="24"/>
    </row>
    <row r="510" spans="5:10" x14ac:dyDescent="0.25">
      <c r="E510" s="24"/>
      <c r="J510" s="24"/>
    </row>
    <row r="511" spans="5:10" x14ac:dyDescent="0.25">
      <c r="E511" s="24"/>
      <c r="J511" s="24"/>
    </row>
    <row r="512" spans="5:10" x14ac:dyDescent="0.25">
      <c r="E512" s="24"/>
      <c r="J512" s="24"/>
    </row>
    <row r="513" spans="5:10" x14ac:dyDescent="0.25">
      <c r="E513" s="24"/>
      <c r="J513" s="24"/>
    </row>
    <row r="514" spans="5:10" x14ac:dyDescent="0.25">
      <c r="E514" s="24"/>
      <c r="J514" s="24"/>
    </row>
    <row r="515" spans="5:10" x14ac:dyDescent="0.25">
      <c r="E515" s="24"/>
      <c r="J515" s="24"/>
    </row>
    <row r="516" spans="5:10" x14ac:dyDescent="0.25">
      <c r="E516" s="24"/>
      <c r="J516" s="24"/>
    </row>
    <row r="517" spans="5:10" x14ac:dyDescent="0.25">
      <c r="E517" s="24"/>
      <c r="J517" s="24"/>
    </row>
    <row r="518" spans="5:10" x14ac:dyDescent="0.25">
      <c r="E518" s="24"/>
      <c r="J518" s="24"/>
    </row>
    <row r="519" spans="5:10" x14ac:dyDescent="0.25">
      <c r="E519" s="24"/>
      <c r="J519" s="24"/>
    </row>
    <row r="520" spans="5:10" x14ac:dyDescent="0.25">
      <c r="E520" s="24"/>
      <c r="J520" s="24"/>
    </row>
    <row r="521" spans="5:10" x14ac:dyDescent="0.25">
      <c r="E521" s="24"/>
      <c r="J521" s="24"/>
    </row>
    <row r="522" spans="5:10" x14ac:dyDescent="0.25">
      <c r="E522" s="24"/>
      <c r="J522" s="24"/>
    </row>
    <row r="523" spans="5:10" x14ac:dyDescent="0.25">
      <c r="E523" s="24"/>
      <c r="J523" s="24"/>
    </row>
    <row r="524" spans="5:10" x14ac:dyDescent="0.25">
      <c r="E524" s="24"/>
      <c r="J524" s="24"/>
    </row>
    <row r="525" spans="5:10" x14ac:dyDescent="0.25">
      <c r="E525" s="24"/>
      <c r="J525" s="24"/>
    </row>
    <row r="526" spans="5:10" x14ac:dyDescent="0.25">
      <c r="E526" s="24"/>
      <c r="J526" s="24"/>
    </row>
    <row r="527" spans="5:10" x14ac:dyDescent="0.25">
      <c r="E527" s="24"/>
      <c r="J527" s="24"/>
    </row>
    <row r="528" spans="5:10" x14ac:dyDescent="0.25">
      <c r="E528" s="24"/>
      <c r="J528" s="24"/>
    </row>
    <row r="529" spans="5:10" x14ac:dyDescent="0.25">
      <c r="E529" s="24"/>
      <c r="J529" s="24"/>
    </row>
    <row r="530" spans="5:10" x14ac:dyDescent="0.25">
      <c r="E530" s="24"/>
      <c r="J530" s="24"/>
    </row>
    <row r="531" spans="5:10" x14ac:dyDescent="0.25">
      <c r="E531" s="24"/>
      <c r="J531" s="24"/>
    </row>
    <row r="532" spans="5:10" x14ac:dyDescent="0.25">
      <c r="E532" s="24"/>
      <c r="J532" s="24"/>
    </row>
    <row r="533" spans="5:10" x14ac:dyDescent="0.25">
      <c r="E533" s="24"/>
      <c r="J533" s="24"/>
    </row>
    <row r="534" spans="5:10" x14ac:dyDescent="0.25">
      <c r="E534" s="24"/>
      <c r="J534" s="24"/>
    </row>
    <row r="535" spans="5:10" x14ac:dyDescent="0.25">
      <c r="E535" s="24"/>
      <c r="J535" s="24"/>
    </row>
    <row r="536" spans="5:10" x14ac:dyDescent="0.25">
      <c r="E536" s="24"/>
      <c r="J536" s="24"/>
    </row>
    <row r="537" spans="5:10" x14ac:dyDescent="0.25">
      <c r="E537" s="24"/>
      <c r="J537" s="24"/>
    </row>
    <row r="538" spans="5:10" x14ac:dyDescent="0.25">
      <c r="E538" s="24"/>
      <c r="J538" s="24"/>
    </row>
    <row r="539" spans="5:10" x14ac:dyDescent="0.25">
      <c r="E539" s="24"/>
      <c r="J539" s="24"/>
    </row>
    <row r="540" spans="5:10" x14ac:dyDescent="0.25">
      <c r="E540" s="24"/>
      <c r="J540" s="24"/>
    </row>
    <row r="541" spans="5:10" x14ac:dyDescent="0.25">
      <c r="E541" s="24"/>
      <c r="J541" s="24"/>
    </row>
    <row r="542" spans="5:10" x14ac:dyDescent="0.25">
      <c r="E542" s="24"/>
      <c r="J542" s="24"/>
    </row>
    <row r="543" spans="5:10" x14ac:dyDescent="0.25">
      <c r="E543" s="24"/>
      <c r="J543" s="24"/>
    </row>
    <row r="544" spans="5:10" x14ac:dyDescent="0.25">
      <c r="E544" s="24"/>
      <c r="J544" s="24"/>
    </row>
    <row r="545" spans="5:10" x14ac:dyDescent="0.25">
      <c r="E545" s="24"/>
      <c r="J545" s="24"/>
    </row>
    <row r="546" spans="5:10" x14ac:dyDescent="0.25">
      <c r="E546" s="24"/>
      <c r="J546" s="24"/>
    </row>
    <row r="547" spans="5:10" x14ac:dyDescent="0.25">
      <c r="E547" s="24"/>
      <c r="J547" s="24"/>
    </row>
    <row r="548" spans="5:10" x14ac:dyDescent="0.25">
      <c r="E548" s="24"/>
      <c r="J548" s="24"/>
    </row>
    <row r="549" spans="5:10" x14ac:dyDescent="0.25">
      <c r="E549" s="24"/>
      <c r="J549" s="24"/>
    </row>
    <row r="550" spans="5:10" x14ac:dyDescent="0.25">
      <c r="E550" s="24"/>
      <c r="J550" s="24"/>
    </row>
    <row r="551" spans="5:10" x14ac:dyDescent="0.25">
      <c r="E551" s="24"/>
      <c r="J551" s="24"/>
    </row>
    <row r="552" spans="5:10" x14ac:dyDescent="0.25">
      <c r="E552" s="24"/>
      <c r="J552" s="24"/>
    </row>
    <row r="553" spans="5:10" x14ac:dyDescent="0.25">
      <c r="E553" s="24"/>
      <c r="J553" s="24"/>
    </row>
    <row r="554" spans="5:10" x14ac:dyDescent="0.25">
      <c r="E554" s="24"/>
      <c r="J554" s="24"/>
    </row>
    <row r="555" spans="5:10" x14ac:dyDescent="0.25">
      <c r="E555" s="24"/>
      <c r="J555" s="24"/>
    </row>
    <row r="556" spans="5:10" x14ac:dyDescent="0.25">
      <c r="E556" s="24"/>
      <c r="J556" s="24"/>
    </row>
    <row r="557" spans="5:10" x14ac:dyDescent="0.25">
      <c r="E557" s="24"/>
      <c r="J557" s="24"/>
    </row>
    <row r="558" spans="5:10" x14ac:dyDescent="0.25">
      <c r="E558" s="24"/>
      <c r="J558" s="24"/>
    </row>
    <row r="559" spans="5:10" x14ac:dyDescent="0.25">
      <c r="E559" s="24"/>
      <c r="J559" s="24"/>
    </row>
    <row r="560" spans="5:10" x14ac:dyDescent="0.25">
      <c r="E560" s="24"/>
      <c r="J560" s="24"/>
    </row>
    <row r="561" spans="5:10" x14ac:dyDescent="0.25">
      <c r="E561" s="24"/>
      <c r="J561" s="24"/>
    </row>
    <row r="562" spans="5:10" x14ac:dyDescent="0.25">
      <c r="E562" s="24"/>
      <c r="J562" s="24"/>
    </row>
    <row r="563" spans="5:10" x14ac:dyDescent="0.25">
      <c r="E563" s="24"/>
      <c r="J563" s="24"/>
    </row>
    <row r="564" spans="5:10" x14ac:dyDescent="0.25">
      <c r="E564" s="24"/>
      <c r="J564" s="24"/>
    </row>
    <row r="565" spans="5:10" x14ac:dyDescent="0.25">
      <c r="E565" s="24"/>
      <c r="J565" s="24"/>
    </row>
    <row r="566" spans="5:10" x14ac:dyDescent="0.25">
      <c r="E566" s="24"/>
      <c r="J566" s="24"/>
    </row>
    <row r="567" spans="5:10" x14ac:dyDescent="0.25">
      <c r="E567" s="24"/>
      <c r="J567" s="24"/>
    </row>
    <row r="568" spans="5:10" x14ac:dyDescent="0.25">
      <c r="E568" s="24"/>
      <c r="J568" s="24"/>
    </row>
    <row r="569" spans="5:10" x14ac:dyDescent="0.25">
      <c r="E569" s="24"/>
      <c r="J569" s="24"/>
    </row>
    <row r="570" spans="5:10" x14ac:dyDescent="0.25">
      <c r="E570" s="24"/>
      <c r="J570" s="24"/>
    </row>
    <row r="571" spans="5:10" x14ac:dyDescent="0.25">
      <c r="E571" s="24"/>
      <c r="J571" s="24"/>
    </row>
    <row r="572" spans="5:10" x14ac:dyDescent="0.25">
      <c r="E572" s="24"/>
      <c r="J572" s="24"/>
    </row>
    <row r="573" spans="5:10" x14ac:dyDescent="0.25">
      <c r="E573" s="24"/>
      <c r="J573" s="24"/>
    </row>
    <row r="574" spans="5:10" x14ac:dyDescent="0.25">
      <c r="E574" s="24"/>
      <c r="J574" s="24"/>
    </row>
    <row r="575" spans="5:10" x14ac:dyDescent="0.25">
      <c r="E575" s="24"/>
      <c r="J575" s="24"/>
    </row>
    <row r="576" spans="5:10" x14ac:dyDescent="0.25">
      <c r="E576" s="24"/>
      <c r="J576" s="24"/>
    </row>
    <row r="577" spans="5:10" x14ac:dyDescent="0.25">
      <c r="E577" s="24"/>
      <c r="J577" s="24"/>
    </row>
    <row r="578" spans="5:10" x14ac:dyDescent="0.25">
      <c r="E578" s="24"/>
      <c r="J578" s="24"/>
    </row>
    <row r="579" spans="5:10" x14ac:dyDescent="0.25">
      <c r="E579" s="24"/>
      <c r="J579" s="24"/>
    </row>
    <row r="580" spans="5:10" x14ac:dyDescent="0.25">
      <c r="E580" s="24"/>
      <c r="J580" s="24"/>
    </row>
    <row r="581" spans="5:10" x14ac:dyDescent="0.25">
      <c r="E581" s="24"/>
      <c r="J581" s="24"/>
    </row>
    <row r="582" spans="5:10" x14ac:dyDescent="0.25">
      <c r="E582" s="24"/>
      <c r="J582" s="24"/>
    </row>
    <row r="583" spans="5:10" x14ac:dyDescent="0.25">
      <c r="E583" s="24"/>
      <c r="J583" s="24"/>
    </row>
    <row r="584" spans="5:10" x14ac:dyDescent="0.25">
      <c r="E584" s="24"/>
      <c r="J584" s="24"/>
    </row>
    <row r="585" spans="5:10" x14ac:dyDescent="0.25">
      <c r="E585" s="24"/>
      <c r="J585" s="24"/>
    </row>
    <row r="586" spans="5:10" x14ac:dyDescent="0.25">
      <c r="E586" s="24"/>
      <c r="J586" s="24"/>
    </row>
    <row r="587" spans="5:10" x14ac:dyDescent="0.25">
      <c r="E587" s="24"/>
      <c r="J587" s="24"/>
    </row>
    <row r="588" spans="5:10" x14ac:dyDescent="0.25">
      <c r="E588" s="24"/>
      <c r="J588" s="24"/>
    </row>
    <row r="589" spans="5:10" x14ac:dyDescent="0.25">
      <c r="E589" s="24"/>
      <c r="J589" s="24"/>
    </row>
    <row r="590" spans="5:10" x14ac:dyDescent="0.25">
      <c r="E590" s="24"/>
      <c r="J590" s="24"/>
    </row>
    <row r="591" spans="5:10" x14ac:dyDescent="0.25">
      <c r="E591" s="24"/>
      <c r="J591" s="24"/>
    </row>
    <row r="592" spans="5:10" x14ac:dyDescent="0.25">
      <c r="E592" s="24"/>
      <c r="J592" s="24"/>
    </row>
    <row r="593" spans="5:10" x14ac:dyDescent="0.25">
      <c r="E593" s="24"/>
      <c r="J593" s="24"/>
    </row>
    <row r="594" spans="5:10" x14ac:dyDescent="0.25">
      <c r="E594" s="24"/>
      <c r="J594" s="24"/>
    </row>
    <row r="595" spans="5:10" x14ac:dyDescent="0.25">
      <c r="E595" s="24"/>
      <c r="J595" s="24"/>
    </row>
    <row r="596" spans="5:10" x14ac:dyDescent="0.25">
      <c r="E596" s="24"/>
      <c r="J596" s="24"/>
    </row>
    <row r="597" spans="5:10" x14ac:dyDescent="0.25">
      <c r="E597" s="24"/>
      <c r="J597" s="24"/>
    </row>
    <row r="598" spans="5:10" x14ac:dyDescent="0.25">
      <c r="E598" s="24"/>
      <c r="J598" s="24"/>
    </row>
    <row r="599" spans="5:10" x14ac:dyDescent="0.25">
      <c r="E599" s="24"/>
      <c r="J599" s="24"/>
    </row>
    <row r="600" spans="5:10" x14ac:dyDescent="0.25">
      <c r="E600" s="24"/>
      <c r="J600" s="24"/>
    </row>
    <row r="601" spans="5:10" x14ac:dyDescent="0.25">
      <c r="E601" s="24"/>
      <c r="J601" s="24"/>
    </row>
    <row r="602" spans="5:10" x14ac:dyDescent="0.25">
      <c r="E602" s="24"/>
      <c r="J602" s="24"/>
    </row>
    <row r="603" spans="5:10" x14ac:dyDescent="0.25">
      <c r="E603" s="24"/>
      <c r="J603" s="24"/>
    </row>
    <row r="604" spans="5:10" x14ac:dyDescent="0.25">
      <c r="E604" s="24"/>
      <c r="J604" s="24"/>
    </row>
    <row r="605" spans="5:10" x14ac:dyDescent="0.25">
      <c r="E605" s="24"/>
      <c r="J605" s="24"/>
    </row>
    <row r="606" spans="5:10" x14ac:dyDescent="0.25">
      <c r="E606" s="24"/>
      <c r="J606" s="24"/>
    </row>
    <row r="607" spans="5:10" x14ac:dyDescent="0.25">
      <c r="E607" s="24"/>
      <c r="J607" s="24"/>
    </row>
    <row r="608" spans="5:10" x14ac:dyDescent="0.25">
      <c r="E608" s="24"/>
      <c r="J608" s="24"/>
    </row>
    <row r="609" spans="5:10" x14ac:dyDescent="0.25">
      <c r="E609" s="24"/>
      <c r="J609" s="24"/>
    </row>
    <row r="610" spans="5:10" x14ac:dyDescent="0.25">
      <c r="E610" s="24"/>
      <c r="J610" s="24"/>
    </row>
    <row r="611" spans="5:10" x14ac:dyDescent="0.25">
      <c r="E611" s="24"/>
      <c r="J611" s="24"/>
    </row>
    <row r="612" spans="5:10" x14ac:dyDescent="0.25">
      <c r="E612" s="24"/>
      <c r="J612" s="24"/>
    </row>
    <row r="613" spans="5:10" x14ac:dyDescent="0.25">
      <c r="E613" s="24"/>
      <c r="J613" s="24"/>
    </row>
    <row r="614" spans="5:10" x14ac:dyDescent="0.25">
      <c r="E614" s="24"/>
      <c r="J614" s="24"/>
    </row>
    <row r="615" spans="5:10" x14ac:dyDescent="0.25">
      <c r="E615" s="24"/>
      <c r="J615" s="24"/>
    </row>
    <row r="616" spans="5:10" x14ac:dyDescent="0.25">
      <c r="E616" s="24"/>
      <c r="J616" s="24"/>
    </row>
    <row r="617" spans="5:10" x14ac:dyDescent="0.25">
      <c r="E617" s="24"/>
      <c r="J617" s="24"/>
    </row>
    <row r="618" spans="5:10" x14ac:dyDescent="0.25">
      <c r="E618" s="24"/>
      <c r="J618" s="24"/>
    </row>
    <row r="619" spans="5:10" x14ac:dyDescent="0.25">
      <c r="E619" s="24"/>
      <c r="J619" s="24"/>
    </row>
    <row r="620" spans="5:10" x14ac:dyDescent="0.25">
      <c r="E620" s="24"/>
      <c r="J620" s="24"/>
    </row>
    <row r="621" spans="5:10" x14ac:dyDescent="0.25">
      <c r="E621" s="24"/>
      <c r="J621" s="24"/>
    </row>
    <row r="622" spans="5:10" x14ac:dyDescent="0.25">
      <c r="E622" s="24"/>
      <c r="J622" s="24"/>
    </row>
    <row r="623" spans="5:10" x14ac:dyDescent="0.25">
      <c r="E623" s="24"/>
      <c r="J623" s="24"/>
    </row>
    <row r="624" spans="5:10" x14ac:dyDescent="0.25">
      <c r="E624" s="24"/>
      <c r="J624" s="24"/>
    </row>
    <row r="625" spans="5:10" x14ac:dyDescent="0.25">
      <c r="E625" s="24"/>
      <c r="J625" s="24"/>
    </row>
    <row r="626" spans="5:10" x14ac:dyDescent="0.25">
      <c r="E626" s="24"/>
      <c r="J626" s="24"/>
    </row>
    <row r="627" spans="5:10" x14ac:dyDescent="0.25">
      <c r="E627" s="24"/>
      <c r="J627" s="24"/>
    </row>
    <row r="628" spans="5:10" x14ac:dyDescent="0.25">
      <c r="E628" s="24"/>
      <c r="J628" s="24"/>
    </row>
    <row r="629" spans="5:10" x14ac:dyDescent="0.25">
      <c r="E629" s="24"/>
      <c r="J629" s="24"/>
    </row>
    <row r="630" spans="5:10" x14ac:dyDescent="0.25">
      <c r="E630" s="24"/>
      <c r="J630" s="24"/>
    </row>
    <row r="631" spans="5:10" x14ac:dyDescent="0.25">
      <c r="E631" s="24"/>
      <c r="J631" s="24"/>
    </row>
    <row r="632" spans="5:10" x14ac:dyDescent="0.25">
      <c r="E632" s="24"/>
      <c r="J632" s="24"/>
    </row>
    <row r="633" spans="5:10" x14ac:dyDescent="0.25">
      <c r="E633" s="24"/>
      <c r="J633" s="24"/>
    </row>
    <row r="634" spans="5:10" x14ac:dyDescent="0.25">
      <c r="E634" s="24"/>
      <c r="J634" s="24"/>
    </row>
    <row r="635" spans="5:10" x14ac:dyDescent="0.25">
      <c r="E635" s="24"/>
      <c r="J635" s="24"/>
    </row>
    <row r="636" spans="5:10" x14ac:dyDescent="0.25">
      <c r="E636" s="24"/>
      <c r="J636" s="24"/>
    </row>
    <row r="637" spans="5:10" x14ac:dyDescent="0.25">
      <c r="E637" s="24"/>
      <c r="J637" s="24"/>
    </row>
    <row r="638" spans="5:10" x14ac:dyDescent="0.25">
      <c r="E638" s="24"/>
      <c r="J638" s="24"/>
    </row>
    <row r="639" spans="5:10" x14ac:dyDescent="0.25">
      <c r="E639" s="24"/>
      <c r="J639" s="24"/>
    </row>
    <row r="640" spans="5:10" x14ac:dyDescent="0.25">
      <c r="E640" s="24"/>
      <c r="J640" s="24"/>
    </row>
    <row r="641" spans="5:10" x14ac:dyDescent="0.25">
      <c r="E641" s="24"/>
      <c r="J641" s="24"/>
    </row>
    <row r="642" spans="5:10" x14ac:dyDescent="0.25">
      <c r="E642" s="24"/>
      <c r="J642" s="24"/>
    </row>
    <row r="643" spans="5:10" x14ac:dyDescent="0.25">
      <c r="E643" s="24"/>
      <c r="J643" s="24"/>
    </row>
    <row r="644" spans="5:10" x14ac:dyDescent="0.25">
      <c r="E644" s="24"/>
      <c r="J644" s="24"/>
    </row>
    <row r="645" spans="5:10" x14ac:dyDescent="0.25">
      <c r="E645" s="24"/>
      <c r="J645" s="24"/>
    </row>
    <row r="646" spans="5:10" x14ac:dyDescent="0.25">
      <c r="E646" s="24"/>
      <c r="J646" s="24"/>
    </row>
    <row r="647" spans="5:10" x14ac:dyDescent="0.25">
      <c r="E647" s="24"/>
      <c r="J647" s="24"/>
    </row>
    <row r="648" spans="5:10" x14ac:dyDescent="0.25">
      <c r="E648" s="24"/>
      <c r="J648" s="24"/>
    </row>
    <row r="649" spans="5:10" x14ac:dyDescent="0.25">
      <c r="E649" s="24"/>
      <c r="J649" s="24"/>
    </row>
    <row r="650" spans="5:10" x14ac:dyDescent="0.25">
      <c r="E650" s="24"/>
      <c r="J650" s="24"/>
    </row>
    <row r="651" spans="5:10" x14ac:dyDescent="0.25">
      <c r="E651" s="24"/>
      <c r="J651" s="24"/>
    </row>
    <row r="652" spans="5:10" x14ac:dyDescent="0.25">
      <c r="E652" s="24"/>
      <c r="J652" s="24"/>
    </row>
    <row r="653" spans="5:10" x14ac:dyDescent="0.25">
      <c r="E653" s="24"/>
      <c r="J653" s="24"/>
    </row>
    <row r="654" spans="5:10" x14ac:dyDescent="0.25">
      <c r="E654" s="24"/>
      <c r="J654" s="24"/>
    </row>
    <row r="655" spans="5:10" x14ac:dyDescent="0.25">
      <c r="E655" s="24"/>
      <c r="J655" s="24"/>
    </row>
    <row r="656" spans="5:10" x14ac:dyDescent="0.25">
      <c r="E656" s="24"/>
      <c r="J656" s="24"/>
    </row>
    <row r="657" spans="5:10" x14ac:dyDescent="0.25">
      <c r="E657" s="24"/>
      <c r="J657" s="24"/>
    </row>
    <row r="658" spans="5:10" x14ac:dyDescent="0.25">
      <c r="E658" s="24"/>
      <c r="J658" s="24"/>
    </row>
    <row r="659" spans="5:10" x14ac:dyDescent="0.25">
      <c r="E659" s="24"/>
      <c r="J659" s="24"/>
    </row>
    <row r="660" spans="5:10" x14ac:dyDescent="0.25">
      <c r="E660" s="24"/>
      <c r="J660" s="24"/>
    </row>
    <row r="661" spans="5:10" x14ac:dyDescent="0.25">
      <c r="E661" s="24"/>
      <c r="J661" s="24"/>
    </row>
    <row r="662" spans="5:10" x14ac:dyDescent="0.25">
      <c r="E662" s="24"/>
      <c r="J662" s="24"/>
    </row>
    <row r="663" spans="5:10" x14ac:dyDescent="0.25">
      <c r="E663" s="24"/>
      <c r="J663" s="24"/>
    </row>
    <row r="664" spans="5:10" x14ac:dyDescent="0.25">
      <c r="E664" s="24"/>
      <c r="J664" s="24"/>
    </row>
    <row r="665" spans="5:10" x14ac:dyDescent="0.25">
      <c r="E665" s="24"/>
      <c r="J665" s="24"/>
    </row>
    <row r="666" spans="5:10" x14ac:dyDescent="0.25">
      <c r="E666" s="24"/>
      <c r="J666" s="24"/>
    </row>
    <row r="667" spans="5:10" x14ac:dyDescent="0.25">
      <c r="E667" s="24"/>
      <c r="J667" s="24"/>
    </row>
    <row r="668" spans="5:10" x14ac:dyDescent="0.25">
      <c r="E668" s="24"/>
      <c r="J668" s="24"/>
    </row>
    <row r="669" spans="5:10" x14ac:dyDescent="0.25">
      <c r="E669" s="24"/>
      <c r="J669" s="24"/>
    </row>
    <row r="670" spans="5:10" x14ac:dyDescent="0.25">
      <c r="E670" s="24"/>
      <c r="J670" s="24"/>
    </row>
    <row r="671" spans="5:10" x14ac:dyDescent="0.25">
      <c r="E671" s="24"/>
      <c r="J671" s="24"/>
    </row>
    <row r="672" spans="5:10" x14ac:dyDescent="0.25">
      <c r="E672" s="24"/>
      <c r="J672" s="24"/>
    </row>
    <row r="673" spans="5:10" x14ac:dyDescent="0.25">
      <c r="E673" s="24"/>
      <c r="J673" s="24"/>
    </row>
    <row r="674" spans="5:10" x14ac:dyDescent="0.25">
      <c r="E674" s="24"/>
      <c r="J674" s="24"/>
    </row>
    <row r="675" spans="5:10" x14ac:dyDescent="0.25">
      <c r="E675" s="24"/>
      <c r="J675" s="24"/>
    </row>
    <row r="676" spans="5:10" x14ac:dyDescent="0.25">
      <c r="E676" s="24"/>
      <c r="J676" s="24"/>
    </row>
    <row r="677" spans="5:10" x14ac:dyDescent="0.25">
      <c r="E677" s="24"/>
      <c r="J677" s="24"/>
    </row>
    <row r="678" spans="5:10" x14ac:dyDescent="0.25">
      <c r="E678" s="24"/>
      <c r="J678" s="24"/>
    </row>
    <row r="679" spans="5:10" x14ac:dyDescent="0.25">
      <c r="E679" s="24"/>
      <c r="J679" s="24"/>
    </row>
    <row r="680" spans="5:10" x14ac:dyDescent="0.25">
      <c r="E680" s="24"/>
      <c r="J680" s="24"/>
    </row>
    <row r="681" spans="5:10" x14ac:dyDescent="0.25">
      <c r="E681" s="24"/>
      <c r="J681" s="24"/>
    </row>
    <row r="682" spans="5:10" x14ac:dyDescent="0.25">
      <c r="E682" s="24"/>
      <c r="J682" s="24"/>
    </row>
    <row r="683" spans="5:10" x14ac:dyDescent="0.25">
      <c r="E683" s="24"/>
      <c r="J683" s="24"/>
    </row>
    <row r="684" spans="5:10" x14ac:dyDescent="0.25">
      <c r="E684" s="24"/>
      <c r="J684" s="24"/>
    </row>
    <row r="685" spans="5:10" x14ac:dyDescent="0.25">
      <c r="E685" s="24"/>
      <c r="J685" s="24"/>
    </row>
    <row r="686" spans="5:10" x14ac:dyDescent="0.25">
      <c r="E686" s="24"/>
      <c r="J686" s="24"/>
    </row>
    <row r="687" spans="5:10" x14ac:dyDescent="0.25">
      <c r="E687" s="24"/>
      <c r="J687" s="24"/>
    </row>
    <row r="688" spans="5:10" x14ac:dyDescent="0.25">
      <c r="E688" s="24"/>
      <c r="J688" s="24"/>
    </row>
    <row r="689" spans="5:10" x14ac:dyDescent="0.25">
      <c r="E689" s="24"/>
      <c r="J689" s="24"/>
    </row>
    <row r="690" spans="5:10" x14ac:dyDescent="0.25">
      <c r="E690" s="24"/>
      <c r="J690" s="24"/>
    </row>
    <row r="691" spans="5:10" x14ac:dyDescent="0.25">
      <c r="E691" s="24"/>
      <c r="J691" s="24"/>
    </row>
    <row r="692" spans="5:10" x14ac:dyDescent="0.25">
      <c r="E692" s="24"/>
      <c r="J692" s="24"/>
    </row>
    <row r="693" spans="5:10" x14ac:dyDescent="0.25">
      <c r="E693" s="24"/>
      <c r="J693" s="24"/>
    </row>
    <row r="694" spans="5:10" x14ac:dyDescent="0.25">
      <c r="E694" s="24"/>
      <c r="J694" s="24"/>
    </row>
    <row r="695" spans="5:10" x14ac:dyDescent="0.25">
      <c r="E695" s="24"/>
      <c r="J695" s="24"/>
    </row>
    <row r="696" spans="5:10" x14ac:dyDescent="0.25">
      <c r="E696" s="24"/>
      <c r="J696" s="24"/>
    </row>
    <row r="697" spans="5:10" x14ac:dyDescent="0.25">
      <c r="E697" s="24"/>
      <c r="J697" s="24"/>
    </row>
    <row r="698" spans="5:10" x14ac:dyDescent="0.25">
      <c r="E698" s="24"/>
      <c r="J698" s="24"/>
    </row>
    <row r="699" spans="5:10" x14ac:dyDescent="0.25">
      <c r="E699" s="24"/>
      <c r="J699" s="24"/>
    </row>
    <row r="700" spans="5:10" x14ac:dyDescent="0.25">
      <c r="E700" s="24"/>
      <c r="J700" s="24"/>
    </row>
    <row r="701" spans="5:10" x14ac:dyDescent="0.25">
      <c r="E701" s="24"/>
      <c r="J701" s="24"/>
    </row>
    <row r="702" spans="5:10" x14ac:dyDescent="0.25">
      <c r="E702" s="24"/>
      <c r="J702" s="24"/>
    </row>
    <row r="703" spans="5:10" x14ac:dyDescent="0.25">
      <c r="E703" s="24"/>
      <c r="J703" s="24"/>
    </row>
    <row r="704" spans="5:10" x14ac:dyDescent="0.25">
      <c r="E704" s="24"/>
      <c r="J704" s="24"/>
    </row>
    <row r="705" spans="5:10" x14ac:dyDescent="0.25">
      <c r="E705" s="24"/>
      <c r="J705" s="24"/>
    </row>
    <row r="706" spans="5:10" x14ac:dyDescent="0.25">
      <c r="E706" s="24"/>
      <c r="J706" s="24"/>
    </row>
    <row r="707" spans="5:10" x14ac:dyDescent="0.25">
      <c r="E707" s="24"/>
      <c r="J707" s="24"/>
    </row>
    <row r="708" spans="5:10" x14ac:dyDescent="0.25">
      <c r="E708" s="24"/>
      <c r="J708" s="24"/>
    </row>
    <row r="709" spans="5:10" x14ac:dyDescent="0.25">
      <c r="E709" s="24"/>
      <c r="J709" s="24"/>
    </row>
    <row r="710" spans="5:10" x14ac:dyDescent="0.25">
      <c r="E710" s="24"/>
      <c r="J710" s="24"/>
    </row>
    <row r="711" spans="5:10" x14ac:dyDescent="0.25">
      <c r="E711" s="24"/>
      <c r="J711" s="24"/>
    </row>
    <row r="712" spans="5:10" x14ac:dyDescent="0.25">
      <c r="E712" s="24"/>
      <c r="J712" s="24"/>
    </row>
    <row r="713" spans="5:10" x14ac:dyDescent="0.25">
      <c r="E713" s="24"/>
      <c r="J713" s="24"/>
    </row>
    <row r="714" spans="5:10" x14ac:dyDescent="0.25">
      <c r="E714" s="24"/>
      <c r="J714" s="24"/>
    </row>
    <row r="715" spans="5:10" x14ac:dyDescent="0.25">
      <c r="E715" s="24"/>
      <c r="J715" s="24"/>
    </row>
    <row r="716" spans="5:10" x14ac:dyDescent="0.25">
      <c r="E716" s="24"/>
      <c r="J716" s="24"/>
    </row>
    <row r="717" spans="5:10" x14ac:dyDescent="0.25">
      <c r="E717" s="24"/>
      <c r="J717" s="24"/>
    </row>
    <row r="718" spans="5:10" x14ac:dyDescent="0.25">
      <c r="E718" s="24"/>
      <c r="J718" s="24"/>
    </row>
    <row r="719" spans="5:10" x14ac:dyDescent="0.25">
      <c r="E719" s="24"/>
      <c r="J719" s="24"/>
    </row>
    <row r="720" spans="5:10" x14ac:dyDescent="0.25">
      <c r="E720" s="24"/>
      <c r="J720" s="24"/>
    </row>
    <row r="721" spans="5:10" x14ac:dyDescent="0.25">
      <c r="E721" s="24"/>
      <c r="J721" s="24"/>
    </row>
    <row r="722" spans="5:10" x14ac:dyDescent="0.25">
      <c r="E722" s="24"/>
      <c r="J722" s="24"/>
    </row>
    <row r="723" spans="5:10" x14ac:dyDescent="0.25">
      <c r="E723" s="24"/>
      <c r="J723" s="24"/>
    </row>
    <row r="724" spans="5:10" x14ac:dyDescent="0.25">
      <c r="E724" s="24"/>
      <c r="J724" s="24"/>
    </row>
    <row r="725" spans="5:10" x14ac:dyDescent="0.25">
      <c r="E725" s="24"/>
      <c r="J725" s="24"/>
    </row>
    <row r="726" spans="5:10" x14ac:dyDescent="0.25">
      <c r="E726" s="24"/>
      <c r="J726" s="24"/>
    </row>
    <row r="727" spans="5:10" x14ac:dyDescent="0.25">
      <c r="E727" s="24"/>
      <c r="J727" s="24"/>
    </row>
    <row r="728" spans="5:10" x14ac:dyDescent="0.25">
      <c r="E728" s="24"/>
      <c r="J728" s="24"/>
    </row>
    <row r="729" spans="5:10" x14ac:dyDescent="0.25">
      <c r="E729" s="24"/>
      <c r="J729" s="24"/>
    </row>
    <row r="730" spans="5:10" x14ac:dyDescent="0.25">
      <c r="E730" s="24"/>
      <c r="J730" s="24"/>
    </row>
    <row r="731" spans="5:10" x14ac:dyDescent="0.25">
      <c r="E731" s="24"/>
      <c r="J731" s="24"/>
    </row>
    <row r="732" spans="5:10" x14ac:dyDescent="0.25">
      <c r="E732" s="24"/>
      <c r="J732" s="24"/>
    </row>
    <row r="733" spans="5:10" x14ac:dyDescent="0.25">
      <c r="E733" s="24"/>
      <c r="J733" s="24"/>
    </row>
    <row r="734" spans="5:10" x14ac:dyDescent="0.25">
      <c r="E734" s="24"/>
      <c r="J734" s="24"/>
    </row>
    <row r="735" spans="5:10" x14ac:dyDescent="0.25">
      <c r="E735" s="24"/>
      <c r="J735" s="24"/>
    </row>
    <row r="736" spans="5:10" x14ac:dyDescent="0.25">
      <c r="E736" s="24"/>
      <c r="J736" s="24"/>
    </row>
    <row r="737" spans="5:10" x14ac:dyDescent="0.25">
      <c r="E737" s="24"/>
      <c r="J737" s="24"/>
    </row>
    <row r="738" spans="5:10" x14ac:dyDescent="0.25">
      <c r="E738" s="24"/>
      <c r="J738" s="24"/>
    </row>
    <row r="739" spans="5:10" x14ac:dyDescent="0.25">
      <c r="E739" s="24"/>
      <c r="J739" s="24"/>
    </row>
    <row r="740" spans="5:10" x14ac:dyDescent="0.25">
      <c r="E740" s="24"/>
      <c r="J740" s="24"/>
    </row>
    <row r="741" spans="5:10" x14ac:dyDescent="0.25">
      <c r="E741" s="24"/>
      <c r="J741" s="24"/>
    </row>
    <row r="742" spans="5:10" x14ac:dyDescent="0.25">
      <c r="E742" s="24"/>
      <c r="J742" s="24"/>
    </row>
    <row r="743" spans="5:10" x14ac:dyDescent="0.25">
      <c r="E743" s="24"/>
      <c r="J743" s="24"/>
    </row>
    <row r="744" spans="5:10" x14ac:dyDescent="0.25">
      <c r="E744" s="24"/>
      <c r="J744" s="24"/>
    </row>
    <row r="745" spans="5:10" x14ac:dyDescent="0.25">
      <c r="E745" s="24"/>
      <c r="J745" s="24"/>
    </row>
    <row r="746" spans="5:10" x14ac:dyDescent="0.25">
      <c r="E746" s="24"/>
      <c r="J746" s="24"/>
    </row>
    <row r="747" spans="5:10" x14ac:dyDescent="0.25">
      <c r="E747" s="24"/>
      <c r="J747" s="24"/>
    </row>
    <row r="748" spans="5:10" x14ac:dyDescent="0.25">
      <c r="E748" s="24"/>
      <c r="J748" s="24"/>
    </row>
    <row r="749" spans="5:10" x14ac:dyDescent="0.25">
      <c r="E749" s="24"/>
      <c r="J749" s="24"/>
    </row>
    <row r="750" spans="5:10" x14ac:dyDescent="0.25">
      <c r="E750" s="24"/>
      <c r="J750" s="24"/>
    </row>
    <row r="751" spans="5:10" x14ac:dyDescent="0.25">
      <c r="E751" s="24"/>
      <c r="J751" s="24"/>
    </row>
    <row r="752" spans="5:10" x14ac:dyDescent="0.25">
      <c r="E752" s="24"/>
      <c r="J752" s="24"/>
    </row>
    <row r="753" spans="5:10" x14ac:dyDescent="0.25">
      <c r="E753" s="24"/>
      <c r="J753" s="24"/>
    </row>
    <row r="754" spans="5:10" x14ac:dyDescent="0.25">
      <c r="E754" s="24"/>
      <c r="J754" s="24"/>
    </row>
    <row r="755" spans="5:10" x14ac:dyDescent="0.25">
      <c r="E755" s="24"/>
      <c r="J755" s="24"/>
    </row>
    <row r="756" spans="5:10" x14ac:dyDescent="0.25">
      <c r="E756" s="24"/>
      <c r="J756" s="24"/>
    </row>
    <row r="757" spans="5:10" x14ac:dyDescent="0.25">
      <c r="E757" s="24"/>
      <c r="J757" s="24"/>
    </row>
    <row r="758" spans="5:10" x14ac:dyDescent="0.25">
      <c r="E758" s="24"/>
      <c r="J758" s="24"/>
    </row>
    <row r="759" spans="5:10" x14ac:dyDescent="0.25">
      <c r="E759" s="24"/>
      <c r="J759" s="24"/>
    </row>
    <row r="760" spans="5:10" x14ac:dyDescent="0.25">
      <c r="E760" s="24"/>
      <c r="J760" s="24"/>
    </row>
    <row r="761" spans="5:10" x14ac:dyDescent="0.25">
      <c r="E761" s="24"/>
      <c r="J761" s="24"/>
    </row>
    <row r="762" spans="5:10" x14ac:dyDescent="0.25">
      <c r="E762" s="24"/>
      <c r="J762" s="24"/>
    </row>
    <row r="763" spans="5:10" x14ac:dyDescent="0.25">
      <c r="E763" s="24"/>
      <c r="J763" s="24"/>
    </row>
    <row r="764" spans="5:10" x14ac:dyDescent="0.25">
      <c r="E764" s="24"/>
      <c r="J764" s="24"/>
    </row>
    <row r="765" spans="5:10" x14ac:dyDescent="0.25">
      <c r="E765" s="24"/>
      <c r="J765" s="24"/>
    </row>
    <row r="766" spans="5:10" x14ac:dyDescent="0.25">
      <c r="E766" s="24"/>
      <c r="J766" s="24"/>
    </row>
    <row r="767" spans="5:10" x14ac:dyDescent="0.25">
      <c r="E767" s="24"/>
      <c r="J767" s="24"/>
    </row>
    <row r="768" spans="5:10" x14ac:dyDescent="0.25">
      <c r="E768" s="24"/>
      <c r="J768" s="24"/>
    </row>
    <row r="769" spans="5:10" x14ac:dyDescent="0.25">
      <c r="E769" s="24"/>
      <c r="J769" s="24"/>
    </row>
    <row r="770" spans="5:10" x14ac:dyDescent="0.25">
      <c r="E770" s="24"/>
      <c r="J770" s="24"/>
    </row>
    <row r="771" spans="5:10" x14ac:dyDescent="0.25">
      <c r="E771" s="24"/>
      <c r="J771" s="24"/>
    </row>
    <row r="772" spans="5:10" x14ac:dyDescent="0.25">
      <c r="E772" s="24"/>
      <c r="J772" s="24"/>
    </row>
    <row r="773" spans="5:10" x14ac:dyDescent="0.25">
      <c r="E773" s="24"/>
      <c r="J773" s="24"/>
    </row>
    <row r="774" spans="5:10" x14ac:dyDescent="0.25">
      <c r="E774" s="24"/>
      <c r="J774" s="24"/>
    </row>
    <row r="775" spans="5:10" x14ac:dyDescent="0.25">
      <c r="E775" s="24"/>
      <c r="J775" s="24"/>
    </row>
    <row r="776" spans="5:10" x14ac:dyDescent="0.25">
      <c r="E776" s="24"/>
      <c r="J776" s="24"/>
    </row>
    <row r="777" spans="5:10" x14ac:dyDescent="0.25">
      <c r="E777" s="24"/>
      <c r="J777" s="24"/>
    </row>
    <row r="778" spans="5:10" x14ac:dyDescent="0.25">
      <c r="E778" s="24"/>
      <c r="J778" s="24"/>
    </row>
    <row r="779" spans="5:10" x14ac:dyDescent="0.25">
      <c r="E779" s="24"/>
      <c r="J779" s="24"/>
    </row>
    <row r="780" spans="5:10" x14ac:dyDescent="0.25">
      <c r="E780" s="24"/>
      <c r="J780" s="24"/>
    </row>
    <row r="781" spans="5:10" x14ac:dyDescent="0.25">
      <c r="E781" s="24"/>
      <c r="J781" s="24"/>
    </row>
    <row r="782" spans="5:10" x14ac:dyDescent="0.25">
      <c r="E782" s="24"/>
      <c r="J782" s="24"/>
    </row>
    <row r="783" spans="5:10" x14ac:dyDescent="0.25">
      <c r="E783" s="24"/>
      <c r="J783" s="24"/>
    </row>
    <row r="784" spans="5:10" x14ac:dyDescent="0.25">
      <c r="E784" s="24"/>
      <c r="J784" s="24"/>
    </row>
    <row r="785" spans="5:10" x14ac:dyDescent="0.25">
      <c r="E785" s="24"/>
      <c r="J785" s="24"/>
    </row>
    <row r="786" spans="5:10" x14ac:dyDescent="0.25">
      <c r="E786" s="24"/>
      <c r="J786" s="24"/>
    </row>
    <row r="787" spans="5:10" x14ac:dyDescent="0.25">
      <c r="E787" s="24"/>
      <c r="J787" s="24"/>
    </row>
    <row r="788" spans="5:10" x14ac:dyDescent="0.25">
      <c r="E788" s="24"/>
      <c r="J788" s="24"/>
    </row>
    <row r="789" spans="5:10" x14ac:dyDescent="0.25">
      <c r="E789" s="24"/>
      <c r="J789" s="24"/>
    </row>
    <row r="790" spans="5:10" x14ac:dyDescent="0.25">
      <c r="E790" s="24"/>
      <c r="J790" s="24"/>
    </row>
    <row r="791" spans="5:10" x14ac:dyDescent="0.25">
      <c r="E791" s="24"/>
      <c r="J791" s="24"/>
    </row>
    <row r="792" spans="5:10" x14ac:dyDescent="0.25">
      <c r="E792" s="24"/>
      <c r="J792" s="24"/>
    </row>
    <row r="793" spans="5:10" x14ac:dyDescent="0.25">
      <c r="E793" s="24"/>
      <c r="J793" s="24"/>
    </row>
    <row r="794" spans="5:10" x14ac:dyDescent="0.25">
      <c r="E794" s="24"/>
      <c r="J794" s="24"/>
    </row>
    <row r="795" spans="5:10" x14ac:dyDescent="0.25">
      <c r="E795" s="24"/>
      <c r="J795" s="24"/>
    </row>
    <row r="796" spans="5:10" x14ac:dyDescent="0.25">
      <c r="E796" s="24"/>
      <c r="J796" s="24"/>
    </row>
    <row r="797" spans="5:10" x14ac:dyDescent="0.25">
      <c r="E797" s="24"/>
      <c r="J797" s="24"/>
    </row>
    <row r="798" spans="5:10" x14ac:dyDescent="0.25">
      <c r="E798" s="24"/>
      <c r="J798" s="24"/>
    </row>
    <row r="799" spans="5:10" x14ac:dyDescent="0.25">
      <c r="E799" s="24"/>
      <c r="J799" s="24"/>
    </row>
    <row r="800" spans="5:10" x14ac:dyDescent="0.25">
      <c r="E800" s="24"/>
      <c r="J800" s="24"/>
    </row>
    <row r="801" spans="5:10" x14ac:dyDescent="0.25">
      <c r="E801" s="24"/>
      <c r="J801" s="24"/>
    </row>
    <row r="802" spans="5:10" x14ac:dyDescent="0.25">
      <c r="E802" s="24"/>
      <c r="J802" s="24"/>
    </row>
    <row r="803" spans="5:10" x14ac:dyDescent="0.25">
      <c r="E803" s="24"/>
      <c r="J803" s="24"/>
    </row>
    <row r="804" spans="5:10" x14ac:dyDescent="0.25">
      <c r="E804" s="24"/>
      <c r="J804" s="24"/>
    </row>
    <row r="805" spans="5:10" x14ac:dyDescent="0.25">
      <c r="E805" s="24"/>
      <c r="J805" s="24"/>
    </row>
    <row r="806" spans="5:10" x14ac:dyDescent="0.25">
      <c r="E806" s="24"/>
      <c r="J806" s="24"/>
    </row>
    <row r="807" spans="5:10" x14ac:dyDescent="0.25">
      <c r="E807" s="24"/>
      <c r="J807" s="24"/>
    </row>
    <row r="808" spans="5:10" x14ac:dyDescent="0.25">
      <c r="E808" s="24"/>
      <c r="J808" s="24"/>
    </row>
    <row r="809" spans="5:10" x14ac:dyDescent="0.25">
      <c r="E809" s="24"/>
      <c r="J809" s="24"/>
    </row>
    <row r="810" spans="5:10" x14ac:dyDescent="0.25">
      <c r="E810" s="24"/>
      <c r="J810" s="24"/>
    </row>
    <row r="811" spans="5:10" x14ac:dyDescent="0.25">
      <c r="E811" s="24"/>
      <c r="J811" s="24"/>
    </row>
    <row r="812" spans="5:10" x14ac:dyDescent="0.25">
      <c r="E812" s="24"/>
      <c r="J812" s="24"/>
    </row>
    <row r="813" spans="5:10" x14ac:dyDescent="0.25">
      <c r="E813" s="24"/>
      <c r="J813" s="24"/>
    </row>
    <row r="814" spans="5:10" x14ac:dyDescent="0.25">
      <c r="E814" s="24"/>
      <c r="J814" s="24"/>
    </row>
    <row r="815" spans="5:10" x14ac:dyDescent="0.25">
      <c r="E815" s="24"/>
      <c r="J815" s="24"/>
    </row>
    <row r="816" spans="5:10" x14ac:dyDescent="0.25">
      <c r="E816" s="24"/>
      <c r="J816" s="24"/>
    </row>
    <row r="817" spans="5:10" x14ac:dyDescent="0.25">
      <c r="E817" s="24"/>
      <c r="J817" s="24"/>
    </row>
    <row r="818" spans="5:10" x14ac:dyDescent="0.25">
      <c r="E818" s="24"/>
      <c r="J818" s="24"/>
    </row>
    <row r="819" spans="5:10" x14ac:dyDescent="0.25">
      <c r="E819" s="24"/>
      <c r="J819" s="24"/>
    </row>
    <row r="820" spans="5:10" x14ac:dyDescent="0.25">
      <c r="E820" s="24"/>
      <c r="J820" s="24"/>
    </row>
    <row r="821" spans="5:10" x14ac:dyDescent="0.25">
      <c r="E821" s="24"/>
      <c r="J821" s="24"/>
    </row>
    <row r="822" spans="5:10" x14ac:dyDescent="0.25">
      <c r="E822" s="24"/>
      <c r="J822" s="24"/>
    </row>
    <row r="823" spans="5:10" x14ac:dyDescent="0.25">
      <c r="E823" s="24"/>
      <c r="J823" s="24"/>
    </row>
    <row r="824" spans="5:10" x14ac:dyDescent="0.25">
      <c r="E824" s="24"/>
      <c r="J824" s="24"/>
    </row>
    <row r="825" spans="5:10" x14ac:dyDescent="0.25">
      <c r="E825" s="24"/>
      <c r="J825" s="24"/>
    </row>
    <row r="826" spans="5:10" x14ac:dyDescent="0.25">
      <c r="E826" s="24"/>
      <c r="J826" s="24"/>
    </row>
    <row r="827" spans="5:10" x14ac:dyDescent="0.25">
      <c r="E827" s="24"/>
      <c r="J827" s="24"/>
    </row>
    <row r="828" spans="5:10" x14ac:dyDescent="0.25">
      <c r="E828" s="24"/>
      <c r="J828" s="24"/>
    </row>
    <row r="829" spans="5:10" x14ac:dyDescent="0.25">
      <c r="E829" s="24"/>
      <c r="J829" s="24"/>
    </row>
    <row r="830" spans="5:10" x14ac:dyDescent="0.25">
      <c r="E830" s="24"/>
      <c r="J830" s="24"/>
    </row>
    <row r="831" spans="5:10" x14ac:dyDescent="0.25">
      <c r="E831" s="24"/>
      <c r="J831" s="24"/>
    </row>
    <row r="832" spans="5:10" x14ac:dyDescent="0.25">
      <c r="E832" s="24"/>
      <c r="J832" s="24"/>
    </row>
    <row r="833" spans="5:10" x14ac:dyDescent="0.25">
      <c r="E833" s="24"/>
      <c r="J833" s="24"/>
    </row>
    <row r="834" spans="5:10" x14ac:dyDescent="0.25">
      <c r="E834" s="24"/>
      <c r="J834" s="24"/>
    </row>
    <row r="835" spans="5:10" x14ac:dyDescent="0.25">
      <c r="E835" s="24"/>
      <c r="J835" s="24"/>
    </row>
    <row r="836" spans="5:10" x14ac:dyDescent="0.25">
      <c r="E836" s="24"/>
      <c r="J836" s="24"/>
    </row>
    <row r="837" spans="5:10" x14ac:dyDescent="0.25">
      <c r="E837" s="24"/>
      <c r="J837" s="24"/>
    </row>
    <row r="838" spans="5:10" x14ac:dyDescent="0.25">
      <c r="E838" s="24"/>
      <c r="J838" s="24"/>
    </row>
    <row r="839" spans="5:10" x14ac:dyDescent="0.25">
      <c r="E839" s="24"/>
      <c r="J839" s="24"/>
    </row>
    <row r="840" spans="5:10" x14ac:dyDescent="0.25">
      <c r="E840" s="24"/>
      <c r="J840" s="24"/>
    </row>
    <row r="841" spans="5:10" x14ac:dyDescent="0.25">
      <c r="E841" s="24"/>
      <c r="J841" s="24"/>
    </row>
    <row r="842" spans="5:10" x14ac:dyDescent="0.25">
      <c r="E842" s="24"/>
      <c r="J842" s="24"/>
    </row>
    <row r="843" spans="5:10" x14ac:dyDescent="0.25">
      <c r="E843" s="24"/>
      <c r="J843" s="24"/>
    </row>
    <row r="844" spans="5:10" x14ac:dyDescent="0.25">
      <c r="E844" s="24"/>
      <c r="J844" s="24"/>
    </row>
    <row r="845" spans="5:10" x14ac:dyDescent="0.25">
      <c r="E845" s="24"/>
      <c r="J845" s="24"/>
    </row>
    <row r="846" spans="5:10" x14ac:dyDescent="0.25">
      <c r="E846" s="24"/>
      <c r="J846" s="24"/>
    </row>
    <row r="847" spans="5:10" x14ac:dyDescent="0.25">
      <c r="E847" s="24"/>
      <c r="J847" s="24"/>
    </row>
    <row r="848" spans="5:10" x14ac:dyDescent="0.25">
      <c r="E848" s="24"/>
      <c r="J848" s="24"/>
    </row>
    <row r="849" spans="5:10" x14ac:dyDescent="0.25">
      <c r="E849" s="24"/>
      <c r="J849" s="24"/>
    </row>
    <row r="850" spans="5:10" x14ac:dyDescent="0.25">
      <c r="E850" s="24"/>
      <c r="J850" s="24"/>
    </row>
    <row r="851" spans="5:10" x14ac:dyDescent="0.25">
      <c r="E851" s="24"/>
      <c r="J851" s="24"/>
    </row>
    <row r="852" spans="5:10" x14ac:dyDescent="0.25">
      <c r="E852" s="24"/>
      <c r="J852" s="24"/>
    </row>
    <row r="853" spans="5:10" x14ac:dyDescent="0.25">
      <c r="E853" s="24"/>
      <c r="J853" s="24"/>
    </row>
    <row r="854" spans="5:10" x14ac:dyDescent="0.25">
      <c r="E854" s="24"/>
      <c r="J854" s="24"/>
    </row>
    <row r="855" spans="5:10" x14ac:dyDescent="0.25">
      <c r="E855" s="24"/>
      <c r="J855" s="24"/>
    </row>
    <row r="856" spans="5:10" x14ac:dyDescent="0.25">
      <c r="E856" s="24"/>
      <c r="J856" s="24"/>
    </row>
    <row r="857" spans="5:10" x14ac:dyDescent="0.25">
      <c r="E857" s="24"/>
      <c r="J857" s="24"/>
    </row>
    <row r="858" spans="5:10" x14ac:dyDescent="0.25">
      <c r="E858" s="24"/>
      <c r="J858" s="24"/>
    </row>
    <row r="859" spans="5:10" x14ac:dyDescent="0.25">
      <c r="E859" s="24"/>
      <c r="J859" s="24"/>
    </row>
    <row r="860" spans="5:10" x14ac:dyDescent="0.25">
      <c r="E860" s="24"/>
      <c r="J860" s="24"/>
    </row>
    <row r="861" spans="5:10" x14ac:dyDescent="0.25">
      <c r="E861" s="24"/>
      <c r="J861" s="24"/>
    </row>
    <row r="862" spans="5:10" x14ac:dyDescent="0.25">
      <c r="E862" s="24"/>
      <c r="J862" s="24"/>
    </row>
    <row r="863" spans="5:10" x14ac:dyDescent="0.25">
      <c r="E863" s="24"/>
      <c r="J863" s="24"/>
    </row>
    <row r="864" spans="5:10" x14ac:dyDescent="0.25">
      <c r="E864" s="24"/>
      <c r="J864" s="24"/>
    </row>
    <row r="865" spans="5:10" x14ac:dyDescent="0.25">
      <c r="E865" s="24"/>
      <c r="J865" s="24"/>
    </row>
    <row r="866" spans="5:10" x14ac:dyDescent="0.25">
      <c r="E866" s="24"/>
      <c r="J866" s="24"/>
    </row>
    <row r="867" spans="5:10" x14ac:dyDescent="0.25">
      <c r="E867" s="24"/>
      <c r="J867" s="24"/>
    </row>
    <row r="868" spans="5:10" x14ac:dyDescent="0.25">
      <c r="E868" s="24"/>
      <c r="J868" s="24"/>
    </row>
    <row r="869" spans="5:10" x14ac:dyDescent="0.25">
      <c r="E869" s="24"/>
      <c r="J869" s="24"/>
    </row>
    <row r="870" spans="5:10" x14ac:dyDescent="0.25">
      <c r="E870" s="24"/>
      <c r="J870" s="24"/>
    </row>
    <row r="871" spans="5:10" x14ac:dyDescent="0.25">
      <c r="E871" s="24"/>
      <c r="J871" s="24"/>
    </row>
    <row r="872" spans="5:10" x14ac:dyDescent="0.25">
      <c r="E872" s="24"/>
      <c r="J872" s="24"/>
    </row>
    <row r="873" spans="5:10" x14ac:dyDescent="0.25">
      <c r="E873" s="24"/>
      <c r="J873" s="24"/>
    </row>
    <row r="874" spans="5:10" x14ac:dyDescent="0.25">
      <c r="E874" s="24"/>
      <c r="J874" s="24"/>
    </row>
    <row r="875" spans="5:10" x14ac:dyDescent="0.25">
      <c r="E875" s="24"/>
      <c r="J875" s="24"/>
    </row>
    <row r="876" spans="5:10" x14ac:dyDescent="0.25">
      <c r="E876" s="24"/>
      <c r="J876" s="24"/>
    </row>
    <row r="877" spans="5:10" x14ac:dyDescent="0.25">
      <c r="E877" s="24"/>
      <c r="J877" s="24"/>
    </row>
    <row r="878" spans="5:10" x14ac:dyDescent="0.25">
      <c r="E878" s="24"/>
      <c r="J878" s="24"/>
    </row>
    <row r="879" spans="5:10" x14ac:dyDescent="0.25">
      <c r="E879" s="24"/>
      <c r="J879" s="24"/>
    </row>
    <row r="880" spans="5:10" x14ac:dyDescent="0.25">
      <c r="E880" s="24"/>
      <c r="J880" s="24"/>
    </row>
    <row r="881" spans="5:10" x14ac:dyDescent="0.25">
      <c r="E881" s="24"/>
      <c r="J881" s="24"/>
    </row>
    <row r="882" spans="5:10" x14ac:dyDescent="0.25">
      <c r="E882" s="24"/>
      <c r="J882" s="24"/>
    </row>
    <row r="883" spans="5:10" x14ac:dyDescent="0.25">
      <c r="E883" s="24"/>
      <c r="J883" s="24"/>
    </row>
    <row r="884" spans="5:10" x14ac:dyDescent="0.25">
      <c r="E884" s="24"/>
      <c r="J884" s="24"/>
    </row>
    <row r="885" spans="5:10" x14ac:dyDescent="0.25">
      <c r="E885" s="24"/>
      <c r="J885" s="24"/>
    </row>
    <row r="886" spans="5:10" x14ac:dyDescent="0.25">
      <c r="E886" s="24"/>
      <c r="J886" s="24"/>
    </row>
    <row r="887" spans="5:10" x14ac:dyDescent="0.25">
      <c r="E887" s="24"/>
      <c r="J887" s="24"/>
    </row>
    <row r="888" spans="5:10" x14ac:dyDescent="0.25">
      <c r="E888" s="24"/>
      <c r="J888" s="24"/>
    </row>
    <row r="889" spans="5:10" x14ac:dyDescent="0.25">
      <c r="E889" s="24"/>
      <c r="J889" s="24"/>
    </row>
    <row r="890" spans="5:10" x14ac:dyDescent="0.25">
      <c r="E890" s="24"/>
      <c r="J890" s="24"/>
    </row>
    <row r="891" spans="5:10" x14ac:dyDescent="0.25">
      <c r="E891" s="24"/>
      <c r="J891" s="24"/>
    </row>
    <row r="892" spans="5:10" x14ac:dyDescent="0.25">
      <c r="E892" s="24"/>
      <c r="J892" s="24"/>
    </row>
    <row r="893" spans="5:10" x14ac:dyDescent="0.25">
      <c r="E893" s="24"/>
      <c r="J893" s="24"/>
    </row>
    <row r="894" spans="5:10" x14ac:dyDescent="0.25">
      <c r="E894" s="24"/>
      <c r="J894" s="24"/>
    </row>
    <row r="895" spans="5:10" x14ac:dyDescent="0.25">
      <c r="E895" s="24"/>
      <c r="J895" s="24"/>
    </row>
    <row r="896" spans="5:10" x14ac:dyDescent="0.25">
      <c r="E896" s="24"/>
      <c r="J896" s="24"/>
    </row>
    <row r="897" spans="5:10" x14ac:dyDescent="0.25">
      <c r="E897" s="24"/>
      <c r="J897" s="24"/>
    </row>
    <row r="898" spans="5:10" x14ac:dyDescent="0.25">
      <c r="E898" s="24"/>
      <c r="J898" s="24"/>
    </row>
    <row r="899" spans="5:10" x14ac:dyDescent="0.25">
      <c r="E899" s="24"/>
      <c r="J899" s="24"/>
    </row>
    <row r="900" spans="5:10" x14ac:dyDescent="0.25">
      <c r="E900" s="24"/>
      <c r="J900" s="24"/>
    </row>
    <row r="901" spans="5:10" x14ac:dyDescent="0.25">
      <c r="E901" s="24"/>
      <c r="J901" s="24"/>
    </row>
    <row r="902" spans="5:10" x14ac:dyDescent="0.25">
      <c r="E902" s="24"/>
      <c r="J902" s="24"/>
    </row>
    <row r="903" spans="5:10" x14ac:dyDescent="0.25">
      <c r="E903" s="24"/>
      <c r="J903" s="24"/>
    </row>
    <row r="904" spans="5:10" x14ac:dyDescent="0.25">
      <c r="E904" s="24"/>
      <c r="J904" s="24"/>
    </row>
    <row r="905" spans="5:10" x14ac:dyDescent="0.25">
      <c r="E905" s="24"/>
      <c r="J905" s="24"/>
    </row>
    <row r="906" spans="5:10" x14ac:dyDescent="0.25">
      <c r="E906" s="24"/>
      <c r="J906" s="24"/>
    </row>
    <row r="907" spans="5:10" x14ac:dyDescent="0.25">
      <c r="E907" s="24"/>
      <c r="J907" s="24"/>
    </row>
    <row r="908" spans="5:10" x14ac:dyDescent="0.25">
      <c r="E908" s="24"/>
      <c r="J908" s="24"/>
    </row>
    <row r="909" spans="5:10" x14ac:dyDescent="0.25">
      <c r="E909" s="24"/>
      <c r="J909" s="24"/>
    </row>
    <row r="910" spans="5:10" x14ac:dyDescent="0.25">
      <c r="E910" s="24"/>
      <c r="J910" s="24"/>
    </row>
    <row r="911" spans="5:10" x14ac:dyDescent="0.25">
      <c r="E911" s="24"/>
      <c r="J911" s="24"/>
    </row>
    <row r="912" spans="5:10" x14ac:dyDescent="0.25">
      <c r="E912" s="24"/>
      <c r="J912" s="24"/>
    </row>
    <row r="913" spans="5:10" x14ac:dyDescent="0.25">
      <c r="E913" s="24"/>
      <c r="J913" s="24"/>
    </row>
    <row r="914" spans="5:10" x14ac:dyDescent="0.25">
      <c r="E914" s="24"/>
      <c r="J914" s="24"/>
    </row>
    <row r="915" spans="5:10" x14ac:dyDescent="0.25">
      <c r="E915" s="24"/>
      <c r="J915" s="24"/>
    </row>
    <row r="916" spans="5:10" x14ac:dyDescent="0.25">
      <c r="E916" s="24"/>
      <c r="J916" s="24"/>
    </row>
    <row r="917" spans="5:10" x14ac:dyDescent="0.25">
      <c r="E917" s="24"/>
      <c r="J917" s="24"/>
    </row>
    <row r="918" spans="5:10" x14ac:dyDescent="0.25">
      <c r="E918" s="24"/>
      <c r="J918" s="24"/>
    </row>
    <row r="919" spans="5:10" x14ac:dyDescent="0.25">
      <c r="E919" s="24"/>
      <c r="J919" s="24"/>
    </row>
    <row r="920" spans="5:10" x14ac:dyDescent="0.25">
      <c r="E920" s="24"/>
      <c r="J920" s="24"/>
    </row>
    <row r="921" spans="5:10" x14ac:dyDescent="0.25">
      <c r="E921" s="24"/>
      <c r="J921" s="24"/>
    </row>
    <row r="922" spans="5:10" x14ac:dyDescent="0.25">
      <c r="E922" s="24"/>
      <c r="J922" s="24"/>
    </row>
    <row r="923" spans="5:10" x14ac:dyDescent="0.25">
      <c r="E923" s="24"/>
      <c r="J923" s="24"/>
    </row>
    <row r="924" spans="5:10" x14ac:dyDescent="0.25">
      <c r="E924" s="24"/>
      <c r="J924" s="24"/>
    </row>
    <row r="925" spans="5:10" x14ac:dyDescent="0.25">
      <c r="E925" s="24"/>
      <c r="J925" s="24"/>
    </row>
    <row r="926" spans="5:10" x14ac:dyDescent="0.25">
      <c r="E926" s="24"/>
      <c r="J926" s="24"/>
    </row>
    <row r="927" spans="5:10" x14ac:dyDescent="0.25">
      <c r="E927" s="24"/>
      <c r="J927" s="24"/>
    </row>
    <row r="928" spans="5:10" x14ac:dyDescent="0.25">
      <c r="E928" s="24"/>
      <c r="J928" s="24"/>
    </row>
    <row r="929" spans="5:10" x14ac:dyDescent="0.25">
      <c r="E929" s="24"/>
      <c r="J929" s="24"/>
    </row>
    <row r="930" spans="5:10" x14ac:dyDescent="0.25">
      <c r="E930" s="24"/>
      <c r="J930" s="24"/>
    </row>
    <row r="931" spans="5:10" x14ac:dyDescent="0.25">
      <c r="E931" s="24"/>
      <c r="J931" s="24"/>
    </row>
    <row r="932" spans="5:10" x14ac:dyDescent="0.25">
      <c r="E932" s="24"/>
      <c r="J932" s="24"/>
    </row>
    <row r="933" spans="5:10" x14ac:dyDescent="0.25">
      <c r="E933" s="24"/>
      <c r="J933" s="24"/>
    </row>
    <row r="934" spans="5:10" x14ac:dyDescent="0.25">
      <c r="E934" s="24"/>
      <c r="J934" s="24"/>
    </row>
    <row r="935" spans="5:10" x14ac:dyDescent="0.25">
      <c r="E935" s="24"/>
      <c r="J935" s="24"/>
    </row>
    <row r="936" spans="5:10" x14ac:dyDescent="0.25">
      <c r="E936" s="24"/>
      <c r="J936" s="24"/>
    </row>
    <row r="937" spans="5:10" x14ac:dyDescent="0.25">
      <c r="E937" s="24"/>
      <c r="J937" s="24"/>
    </row>
    <row r="938" spans="5:10" x14ac:dyDescent="0.25">
      <c r="E938" s="24"/>
      <c r="J938" s="24"/>
    </row>
    <row r="939" spans="5:10" x14ac:dyDescent="0.25">
      <c r="E939" s="24"/>
      <c r="J939" s="24"/>
    </row>
    <row r="940" spans="5:10" x14ac:dyDescent="0.25">
      <c r="E940" s="24"/>
      <c r="J940" s="24"/>
    </row>
    <row r="941" spans="5:10" x14ac:dyDescent="0.25">
      <c r="E941" s="24"/>
      <c r="J941" s="24"/>
    </row>
    <row r="942" spans="5:10" x14ac:dyDescent="0.25">
      <c r="E942" s="24"/>
      <c r="J942" s="24"/>
    </row>
    <row r="943" spans="5:10" x14ac:dyDescent="0.25">
      <c r="E943" s="24"/>
      <c r="J943" s="24"/>
    </row>
    <row r="944" spans="5:10" x14ac:dyDescent="0.25">
      <c r="E944" s="24"/>
      <c r="J944" s="24"/>
    </row>
    <row r="945" spans="5:10" x14ac:dyDescent="0.25">
      <c r="E945" s="24"/>
      <c r="J945" s="24"/>
    </row>
    <row r="946" spans="5:10" x14ac:dyDescent="0.25">
      <c r="E946" s="24"/>
      <c r="J946" s="24"/>
    </row>
    <row r="947" spans="5:10" x14ac:dyDescent="0.25">
      <c r="E947" s="24"/>
      <c r="J947" s="24"/>
    </row>
    <row r="948" spans="5:10" x14ac:dyDescent="0.25">
      <c r="E948" s="24"/>
      <c r="J948" s="24"/>
    </row>
    <row r="949" spans="5:10" x14ac:dyDescent="0.25">
      <c r="E949" s="24"/>
      <c r="J949" s="24"/>
    </row>
    <row r="950" spans="5:10" x14ac:dyDescent="0.25">
      <c r="E950" s="24"/>
      <c r="J950" s="24"/>
    </row>
    <row r="951" spans="5:10" x14ac:dyDescent="0.25">
      <c r="E951" s="24"/>
      <c r="J951" s="24"/>
    </row>
    <row r="952" spans="5:10" x14ac:dyDescent="0.25">
      <c r="E952" s="24"/>
      <c r="J952" s="24"/>
    </row>
    <row r="953" spans="5:10" x14ac:dyDescent="0.25">
      <c r="E953" s="24"/>
      <c r="J953" s="24"/>
    </row>
    <row r="954" spans="5:10" x14ac:dyDescent="0.25">
      <c r="E954" s="24"/>
      <c r="J954" s="24"/>
    </row>
    <row r="955" spans="5:10" x14ac:dyDescent="0.25">
      <c r="E955" s="24"/>
      <c r="J955" s="24"/>
    </row>
    <row r="956" spans="5:10" x14ac:dyDescent="0.25">
      <c r="E956" s="24"/>
      <c r="J956" s="24"/>
    </row>
    <row r="957" spans="5:10" x14ac:dyDescent="0.25">
      <c r="E957" s="24"/>
      <c r="J957" s="24"/>
    </row>
    <row r="958" spans="5:10" x14ac:dyDescent="0.25">
      <c r="E958" s="24"/>
      <c r="J958" s="24"/>
    </row>
    <row r="959" spans="5:10" x14ac:dyDescent="0.25">
      <c r="E959" s="24"/>
      <c r="J959" s="24"/>
    </row>
    <row r="960" spans="5:10" x14ac:dyDescent="0.25">
      <c r="E960" s="24"/>
      <c r="J960" s="24"/>
    </row>
    <row r="961" spans="5:10" x14ac:dyDescent="0.25">
      <c r="E961" s="24"/>
      <c r="J961" s="24"/>
    </row>
    <row r="962" spans="5:10" x14ac:dyDescent="0.25">
      <c r="E962" s="24"/>
      <c r="J962" s="24"/>
    </row>
    <row r="963" spans="5:10" x14ac:dyDescent="0.25">
      <c r="E963" s="24"/>
      <c r="J963" s="24"/>
    </row>
    <row r="964" spans="5:10" x14ac:dyDescent="0.25">
      <c r="E964" s="24"/>
      <c r="J964" s="24"/>
    </row>
    <row r="965" spans="5:10" x14ac:dyDescent="0.25">
      <c r="E965" s="24"/>
      <c r="J965" s="24"/>
    </row>
    <row r="966" spans="5:10" x14ac:dyDescent="0.25">
      <c r="E966" s="24"/>
      <c r="J966" s="24"/>
    </row>
    <row r="967" spans="5:10" x14ac:dyDescent="0.25">
      <c r="E967" s="24"/>
      <c r="J967" s="24"/>
    </row>
    <row r="968" spans="5:10" x14ac:dyDescent="0.25">
      <c r="E968" s="24"/>
      <c r="J968" s="24"/>
    </row>
    <row r="969" spans="5:10" x14ac:dyDescent="0.25">
      <c r="E969" s="24"/>
      <c r="J969" s="24"/>
    </row>
    <row r="970" spans="5:10" x14ac:dyDescent="0.25">
      <c r="E970" s="24"/>
      <c r="J970" s="24"/>
    </row>
    <row r="971" spans="5:10" x14ac:dyDescent="0.25">
      <c r="E971" s="24"/>
      <c r="J971" s="24"/>
    </row>
    <row r="972" spans="5:10" x14ac:dyDescent="0.25">
      <c r="E972" s="24"/>
      <c r="J972" s="24"/>
    </row>
    <row r="973" spans="5:10" x14ac:dyDescent="0.25">
      <c r="E973" s="24"/>
      <c r="J973" s="24"/>
    </row>
    <row r="974" spans="5:10" x14ac:dyDescent="0.25">
      <c r="E974" s="24"/>
      <c r="J974" s="24"/>
    </row>
    <row r="975" spans="5:10" x14ac:dyDescent="0.25">
      <c r="E975" s="24"/>
      <c r="J975" s="24"/>
    </row>
    <row r="976" spans="5:10" x14ac:dyDescent="0.25">
      <c r="E976" s="24"/>
      <c r="J976" s="24"/>
    </row>
    <row r="977" spans="5:10" x14ac:dyDescent="0.25">
      <c r="E977" s="24"/>
      <c r="J977" s="24"/>
    </row>
    <row r="978" spans="5:10" x14ac:dyDescent="0.25">
      <c r="E978" s="24"/>
      <c r="J978" s="24"/>
    </row>
    <row r="979" spans="5:10" x14ac:dyDescent="0.25">
      <c r="E979" s="24"/>
      <c r="J979" s="24"/>
    </row>
    <row r="980" spans="5:10" x14ac:dyDescent="0.25">
      <c r="E980" s="24"/>
      <c r="J980" s="24"/>
    </row>
    <row r="981" spans="5:10" x14ac:dyDescent="0.25">
      <c r="E981" s="24"/>
      <c r="J981" s="24"/>
    </row>
    <row r="982" spans="5:10" x14ac:dyDescent="0.25">
      <c r="E982" s="24"/>
      <c r="J982" s="24"/>
    </row>
    <row r="983" spans="5:10" x14ac:dyDescent="0.25">
      <c r="E983" s="24"/>
      <c r="J983" s="24"/>
    </row>
    <row r="984" spans="5:10" x14ac:dyDescent="0.25">
      <c r="E984" s="24"/>
      <c r="J984" s="24"/>
    </row>
    <row r="985" spans="5:10" x14ac:dyDescent="0.25">
      <c r="E985" s="24"/>
      <c r="J985" s="24"/>
    </row>
    <row r="986" spans="5:10" x14ac:dyDescent="0.25">
      <c r="E986" s="24"/>
      <c r="J986" s="24"/>
    </row>
    <row r="987" spans="5:10" x14ac:dyDescent="0.25">
      <c r="E987" s="24"/>
      <c r="J987" s="24"/>
    </row>
    <row r="988" spans="5:10" x14ac:dyDescent="0.25">
      <c r="E988" s="24"/>
      <c r="J988" s="24"/>
    </row>
    <row r="989" spans="5:10" x14ac:dyDescent="0.25">
      <c r="E989" s="24"/>
      <c r="J989" s="24"/>
    </row>
    <row r="990" spans="5:10" x14ac:dyDescent="0.25">
      <c r="E990" s="24"/>
      <c r="J990" s="24"/>
    </row>
    <row r="991" spans="5:10" x14ac:dyDescent="0.25">
      <c r="E991" s="24"/>
      <c r="J991" s="24"/>
    </row>
    <row r="992" spans="5:10" x14ac:dyDescent="0.25">
      <c r="E992" s="24"/>
      <c r="J992" s="24"/>
    </row>
    <row r="993" spans="5:10" x14ac:dyDescent="0.25">
      <c r="E993" s="24"/>
      <c r="J993" s="24"/>
    </row>
    <row r="994" spans="5:10" x14ac:dyDescent="0.25">
      <c r="E994" s="24"/>
      <c r="J994" s="24"/>
    </row>
    <row r="995" spans="5:10" x14ac:dyDescent="0.25">
      <c r="E995" s="24"/>
      <c r="J995" s="24"/>
    </row>
    <row r="996" spans="5:10" x14ac:dyDescent="0.25">
      <c r="E996" s="24"/>
      <c r="J996" s="24"/>
    </row>
    <row r="997" spans="5:10" x14ac:dyDescent="0.25">
      <c r="E997" s="24"/>
      <c r="J997" s="24"/>
    </row>
    <row r="998" spans="5:10" x14ac:dyDescent="0.25">
      <c r="E998" s="24"/>
      <c r="J998" s="24"/>
    </row>
    <row r="999" spans="5:10" x14ac:dyDescent="0.25">
      <c r="E999" s="24"/>
      <c r="J999" s="24"/>
    </row>
    <row r="1000" spans="5:10" x14ac:dyDescent="0.25">
      <c r="E1000" s="24"/>
      <c r="J1000" s="24"/>
    </row>
    <row r="1001" spans="5:10" x14ac:dyDescent="0.25">
      <c r="E1001" s="24"/>
      <c r="J1001" s="24"/>
    </row>
    <row r="1002" spans="5:10" x14ac:dyDescent="0.25">
      <c r="E1002" s="24"/>
      <c r="J1002" s="24"/>
    </row>
    <row r="1003" spans="5:10" x14ac:dyDescent="0.25">
      <c r="E1003" s="24"/>
      <c r="J1003" s="24"/>
    </row>
    <row r="1004" spans="5:10" x14ac:dyDescent="0.25">
      <c r="E1004" s="24"/>
      <c r="J1004" s="24"/>
    </row>
    <row r="1005" spans="5:10" x14ac:dyDescent="0.25">
      <c r="E1005" s="24"/>
      <c r="J1005" s="24"/>
    </row>
    <row r="1006" spans="5:10" x14ac:dyDescent="0.25">
      <c r="E1006" s="24"/>
      <c r="J1006" s="24"/>
    </row>
    <row r="1007" spans="5:10" x14ac:dyDescent="0.25">
      <c r="E1007" s="24"/>
      <c r="J1007" s="24"/>
    </row>
    <row r="1008" spans="5:10" x14ac:dyDescent="0.25">
      <c r="E1008" s="24"/>
      <c r="J1008" s="24"/>
    </row>
    <row r="1009" spans="5:10" x14ac:dyDescent="0.25">
      <c r="E1009" s="24"/>
      <c r="J1009" s="24"/>
    </row>
    <row r="1010" spans="5:10" x14ac:dyDescent="0.25">
      <c r="E1010" s="24"/>
      <c r="J1010" s="24"/>
    </row>
    <row r="1011" spans="5:10" x14ac:dyDescent="0.25">
      <c r="E1011" s="24"/>
      <c r="J1011" s="24"/>
    </row>
    <row r="1012" spans="5:10" x14ac:dyDescent="0.25">
      <c r="E1012" s="24"/>
      <c r="J1012" s="24"/>
    </row>
    <row r="1013" spans="5:10" x14ac:dyDescent="0.25">
      <c r="E1013" s="24"/>
      <c r="J1013" s="24"/>
    </row>
    <row r="1014" spans="5:10" x14ac:dyDescent="0.25">
      <c r="E1014" s="24"/>
      <c r="J1014" s="24"/>
    </row>
    <row r="1015" spans="5:10" x14ac:dyDescent="0.25">
      <c r="E1015" s="24"/>
      <c r="J1015" s="24"/>
    </row>
    <row r="1016" spans="5:10" x14ac:dyDescent="0.25">
      <c r="E1016" s="24"/>
      <c r="J1016" s="24"/>
    </row>
    <row r="1017" spans="5:10" x14ac:dyDescent="0.25">
      <c r="E1017" s="24"/>
      <c r="J1017" s="24"/>
    </row>
    <row r="1018" spans="5:10" x14ac:dyDescent="0.25">
      <c r="E1018" s="24"/>
      <c r="J1018" s="24"/>
    </row>
    <row r="1019" spans="5:10" x14ac:dyDescent="0.25">
      <c r="E1019" s="24"/>
      <c r="J1019" s="24"/>
    </row>
    <row r="1020" spans="5:10" x14ac:dyDescent="0.25">
      <c r="E1020" s="24"/>
      <c r="J1020" s="24"/>
    </row>
    <row r="1021" spans="5:10" x14ac:dyDescent="0.25">
      <c r="E1021" s="24"/>
      <c r="J1021" s="24"/>
    </row>
    <row r="1022" spans="5:10" x14ac:dyDescent="0.25">
      <c r="E1022" s="24"/>
      <c r="J1022" s="24"/>
    </row>
    <row r="1023" spans="5:10" x14ac:dyDescent="0.25">
      <c r="E1023" s="24"/>
      <c r="J1023" s="24"/>
    </row>
    <row r="1024" spans="5:10" x14ac:dyDescent="0.25">
      <c r="E1024" s="24"/>
      <c r="J1024" s="24"/>
    </row>
    <row r="1025" spans="5:10" x14ac:dyDescent="0.25">
      <c r="E1025" s="24"/>
      <c r="J1025" s="24"/>
    </row>
    <row r="1026" spans="5:10" x14ac:dyDescent="0.25">
      <c r="E1026" s="24"/>
      <c r="J1026" s="24"/>
    </row>
    <row r="1027" spans="5:10" x14ac:dyDescent="0.25">
      <c r="E1027" s="24"/>
      <c r="J1027" s="24"/>
    </row>
    <row r="1028" spans="5:10" x14ac:dyDescent="0.25">
      <c r="E1028" s="24"/>
      <c r="J1028" s="24"/>
    </row>
    <row r="1029" spans="5:10" x14ac:dyDescent="0.25">
      <c r="E1029" s="24"/>
      <c r="J1029" s="24"/>
    </row>
    <row r="1030" spans="5:10" x14ac:dyDescent="0.25">
      <c r="E1030" s="24"/>
      <c r="J1030" s="24"/>
    </row>
    <row r="1031" spans="5:10" x14ac:dyDescent="0.25">
      <c r="E1031" s="24"/>
      <c r="J1031" s="24"/>
    </row>
    <row r="1032" spans="5:10" x14ac:dyDescent="0.25">
      <c r="E1032" s="24"/>
      <c r="J1032" s="24"/>
    </row>
    <row r="1033" spans="5:10" x14ac:dyDescent="0.25">
      <c r="E1033" s="24"/>
      <c r="J1033" s="24"/>
    </row>
    <row r="1034" spans="5:10" x14ac:dyDescent="0.25">
      <c r="E1034" s="24"/>
      <c r="J1034" s="24"/>
    </row>
    <row r="1035" spans="5:10" x14ac:dyDescent="0.25">
      <c r="E1035" s="24"/>
      <c r="J1035" s="24"/>
    </row>
    <row r="1036" spans="5:10" x14ac:dyDescent="0.25">
      <c r="E1036" s="24"/>
      <c r="J1036" s="24"/>
    </row>
    <row r="1037" spans="5:10" x14ac:dyDescent="0.25">
      <c r="E1037" s="24"/>
      <c r="J1037" s="24"/>
    </row>
    <row r="1038" spans="5:10" x14ac:dyDescent="0.25">
      <c r="E1038" s="24"/>
      <c r="J1038" s="24"/>
    </row>
    <row r="1039" spans="5:10" x14ac:dyDescent="0.25">
      <c r="E1039" s="24"/>
      <c r="J1039" s="24"/>
    </row>
    <row r="1040" spans="5:10" x14ac:dyDescent="0.25">
      <c r="E1040" s="24"/>
      <c r="J1040" s="24"/>
    </row>
    <row r="1041" spans="5:10" x14ac:dyDescent="0.25">
      <c r="E1041" s="24"/>
      <c r="J1041" s="24"/>
    </row>
    <row r="1042" spans="5:10" x14ac:dyDescent="0.25">
      <c r="E1042" s="24"/>
      <c r="J1042" s="24"/>
    </row>
    <row r="1043" spans="5:10" x14ac:dyDescent="0.25">
      <c r="E1043" s="24"/>
      <c r="J1043" s="24"/>
    </row>
    <row r="1044" spans="5:10" x14ac:dyDescent="0.25">
      <c r="E1044" s="24"/>
      <c r="J1044" s="24"/>
    </row>
    <row r="1045" spans="5:10" x14ac:dyDescent="0.25">
      <c r="E1045" s="24"/>
      <c r="J1045" s="24"/>
    </row>
    <row r="1046" spans="5:10" x14ac:dyDescent="0.25">
      <c r="E1046" s="24"/>
      <c r="J1046" s="24"/>
    </row>
    <row r="1047" spans="5:10" x14ac:dyDescent="0.25">
      <c r="E1047" s="24"/>
      <c r="J1047" s="24"/>
    </row>
    <row r="1048" spans="5:10" x14ac:dyDescent="0.25">
      <c r="E1048" s="24"/>
      <c r="J1048" s="24"/>
    </row>
    <row r="1049" spans="5:10" x14ac:dyDescent="0.25">
      <c r="E1049" s="24"/>
      <c r="J1049" s="24"/>
    </row>
    <row r="1050" spans="5:10" x14ac:dyDescent="0.25">
      <c r="E1050" s="24"/>
      <c r="J1050" s="24"/>
    </row>
    <row r="1051" spans="5:10" x14ac:dyDescent="0.25">
      <c r="E1051" s="24"/>
      <c r="J1051" s="24"/>
    </row>
    <row r="1052" spans="5:10" x14ac:dyDescent="0.25">
      <c r="E1052" s="24"/>
      <c r="J1052" s="24"/>
    </row>
    <row r="1053" spans="5:10" x14ac:dyDescent="0.25">
      <c r="E1053" s="24"/>
      <c r="J1053" s="24"/>
    </row>
    <row r="1054" spans="5:10" x14ac:dyDescent="0.25">
      <c r="E1054" s="24"/>
      <c r="J1054" s="24"/>
    </row>
    <row r="1055" spans="5:10" x14ac:dyDescent="0.25">
      <c r="E1055" s="24"/>
      <c r="J1055" s="24"/>
    </row>
    <row r="1056" spans="5:10" x14ac:dyDescent="0.25">
      <c r="E1056" s="24"/>
      <c r="J1056" s="24"/>
    </row>
    <row r="1057" spans="5:10" x14ac:dyDescent="0.25">
      <c r="E1057" s="24"/>
      <c r="J1057" s="24"/>
    </row>
    <row r="1058" spans="5:10" x14ac:dyDescent="0.25">
      <c r="E1058" s="24"/>
      <c r="J1058" s="24"/>
    </row>
    <row r="1059" spans="5:10" x14ac:dyDescent="0.25">
      <c r="E1059" s="24"/>
      <c r="J1059" s="24"/>
    </row>
    <row r="1060" spans="5:10" x14ac:dyDescent="0.25">
      <c r="E1060" s="24"/>
      <c r="J1060" s="24"/>
    </row>
    <row r="1061" spans="5:10" x14ac:dyDescent="0.25">
      <c r="E1061" s="24"/>
      <c r="J1061" s="24"/>
    </row>
    <row r="1062" spans="5:10" x14ac:dyDescent="0.25">
      <c r="E1062" s="24"/>
      <c r="J1062" s="24"/>
    </row>
    <row r="1063" spans="5:10" x14ac:dyDescent="0.25">
      <c r="E1063" s="24"/>
      <c r="J1063" s="24"/>
    </row>
    <row r="1064" spans="5:10" x14ac:dyDescent="0.25">
      <c r="E1064" s="24"/>
      <c r="J1064" s="24"/>
    </row>
    <row r="1065" spans="5:10" x14ac:dyDescent="0.25">
      <c r="E1065" s="24"/>
      <c r="J1065" s="24"/>
    </row>
    <row r="1066" spans="5:10" x14ac:dyDescent="0.25">
      <c r="E1066" s="24"/>
      <c r="J1066" s="24"/>
    </row>
    <row r="1067" spans="5:10" x14ac:dyDescent="0.25">
      <c r="E1067" s="24"/>
      <c r="J1067" s="24"/>
    </row>
    <row r="1068" spans="5:10" x14ac:dyDescent="0.25">
      <c r="E1068" s="24"/>
      <c r="J1068" s="24"/>
    </row>
    <row r="1069" spans="5:10" x14ac:dyDescent="0.25">
      <c r="E1069" s="24"/>
      <c r="J1069" s="24"/>
    </row>
    <row r="1070" spans="5:10" x14ac:dyDescent="0.25">
      <c r="E1070" s="24"/>
      <c r="J1070" s="24"/>
    </row>
    <row r="1071" spans="5:10" x14ac:dyDescent="0.25">
      <c r="E1071" s="24"/>
      <c r="J1071" s="24"/>
    </row>
    <row r="1072" spans="5:10" x14ac:dyDescent="0.25">
      <c r="E1072" s="24"/>
      <c r="J1072" s="24"/>
    </row>
    <row r="1073" spans="5:10" x14ac:dyDescent="0.25">
      <c r="E1073" s="24"/>
      <c r="J1073" s="24"/>
    </row>
    <row r="1074" spans="5:10" x14ac:dyDescent="0.25">
      <c r="E1074" s="24"/>
      <c r="J1074" s="24"/>
    </row>
    <row r="1075" spans="5:10" x14ac:dyDescent="0.25">
      <c r="E1075" s="24"/>
      <c r="J1075" s="24"/>
    </row>
    <row r="1076" spans="5:10" x14ac:dyDescent="0.25">
      <c r="E1076" s="24"/>
      <c r="J1076" s="24"/>
    </row>
    <row r="1077" spans="5:10" x14ac:dyDescent="0.25">
      <c r="E1077" s="24"/>
      <c r="J1077" s="24"/>
    </row>
    <row r="1078" spans="5:10" x14ac:dyDescent="0.25">
      <c r="E1078" s="24"/>
      <c r="J1078" s="24"/>
    </row>
    <row r="1079" spans="5:10" x14ac:dyDescent="0.25">
      <c r="E1079" s="24"/>
      <c r="J1079" s="24"/>
    </row>
    <row r="1080" spans="5:10" x14ac:dyDescent="0.25">
      <c r="E1080" s="24"/>
      <c r="J1080" s="24"/>
    </row>
    <row r="1081" spans="5:10" x14ac:dyDescent="0.25">
      <c r="E1081" s="24"/>
      <c r="J1081" s="24"/>
    </row>
    <row r="1082" spans="5:10" x14ac:dyDescent="0.25">
      <c r="E1082" s="24"/>
      <c r="J1082" s="24"/>
    </row>
    <row r="1083" spans="5:10" x14ac:dyDescent="0.25">
      <c r="E1083" s="24"/>
      <c r="J1083" s="24"/>
    </row>
    <row r="1084" spans="5:10" x14ac:dyDescent="0.25">
      <c r="E1084" s="24"/>
      <c r="J1084" s="24"/>
    </row>
    <row r="1085" spans="5:10" x14ac:dyDescent="0.25">
      <c r="E1085" s="24"/>
      <c r="J1085" s="24"/>
    </row>
    <row r="1086" spans="5:10" x14ac:dyDescent="0.25">
      <c r="E1086" s="24"/>
      <c r="J1086" s="24"/>
    </row>
    <row r="1087" spans="5:10" x14ac:dyDescent="0.25">
      <c r="E1087" s="24"/>
      <c r="J1087" s="24"/>
    </row>
    <row r="1088" spans="5:10" x14ac:dyDescent="0.25">
      <c r="E1088" s="24"/>
      <c r="J1088" s="24"/>
    </row>
    <row r="1089" spans="5:10" x14ac:dyDescent="0.25">
      <c r="E1089" s="24"/>
      <c r="J1089" s="24"/>
    </row>
    <row r="1090" spans="5:10" x14ac:dyDescent="0.25">
      <c r="E1090" s="24"/>
      <c r="J1090" s="24"/>
    </row>
    <row r="1091" spans="5:10" x14ac:dyDescent="0.25">
      <c r="E1091" s="24"/>
      <c r="J1091" s="24"/>
    </row>
    <row r="1092" spans="5:10" x14ac:dyDescent="0.25">
      <c r="E1092" s="24"/>
      <c r="J1092" s="24"/>
    </row>
    <row r="1093" spans="5:10" x14ac:dyDescent="0.25">
      <c r="E1093" s="24"/>
      <c r="J1093" s="24"/>
    </row>
    <row r="1094" spans="5:10" x14ac:dyDescent="0.25">
      <c r="E1094" s="24"/>
      <c r="J1094" s="24"/>
    </row>
    <row r="1095" spans="5:10" x14ac:dyDescent="0.25">
      <c r="E1095" s="24"/>
      <c r="J1095" s="24"/>
    </row>
    <row r="1096" spans="5:10" x14ac:dyDescent="0.25">
      <c r="E1096" s="24"/>
      <c r="J1096" s="24"/>
    </row>
    <row r="1097" spans="5:10" x14ac:dyDescent="0.25">
      <c r="E1097" s="24"/>
      <c r="J1097" s="24"/>
    </row>
    <row r="1098" spans="5:10" x14ac:dyDescent="0.25">
      <c r="E1098" s="24"/>
      <c r="J1098" s="24"/>
    </row>
    <row r="1099" spans="5:10" x14ac:dyDescent="0.25">
      <c r="E1099" s="24"/>
      <c r="J1099" s="24"/>
    </row>
    <row r="1100" spans="5:10" x14ac:dyDescent="0.25">
      <c r="E1100" s="24"/>
      <c r="J1100" s="24"/>
    </row>
    <row r="1101" spans="5:10" x14ac:dyDescent="0.25">
      <c r="E1101" s="24"/>
      <c r="J1101" s="24"/>
    </row>
    <row r="1102" spans="5:10" x14ac:dyDescent="0.25">
      <c r="E1102" s="24"/>
      <c r="J1102" s="24"/>
    </row>
    <row r="1103" spans="5:10" x14ac:dyDescent="0.25">
      <c r="E1103" s="24"/>
      <c r="J1103" s="24"/>
    </row>
    <row r="1104" spans="5:10" x14ac:dyDescent="0.25">
      <c r="E1104" s="24"/>
      <c r="J1104" s="24"/>
    </row>
    <row r="1105" spans="5:10" x14ac:dyDescent="0.25">
      <c r="E1105" s="24"/>
      <c r="J1105" s="24"/>
    </row>
    <row r="1106" spans="5:10" x14ac:dyDescent="0.25">
      <c r="E1106" s="24"/>
      <c r="J1106" s="24"/>
    </row>
    <row r="1107" spans="5:10" x14ac:dyDescent="0.25">
      <c r="E1107" s="24"/>
      <c r="J1107" s="24"/>
    </row>
    <row r="1108" spans="5:10" x14ac:dyDescent="0.25">
      <c r="E1108" s="24"/>
      <c r="J1108" s="24"/>
    </row>
    <row r="1109" spans="5:10" x14ac:dyDescent="0.25">
      <c r="E1109" s="24"/>
      <c r="J1109" s="24"/>
    </row>
    <row r="1110" spans="5:10" x14ac:dyDescent="0.25">
      <c r="E1110" s="24"/>
      <c r="J1110" s="24"/>
    </row>
    <row r="1111" spans="5:10" x14ac:dyDescent="0.25">
      <c r="E1111" s="24"/>
      <c r="J1111" s="24"/>
    </row>
    <row r="1112" spans="5:10" x14ac:dyDescent="0.25">
      <c r="E1112" s="24"/>
      <c r="J1112" s="24"/>
    </row>
    <row r="1113" spans="5:10" x14ac:dyDescent="0.25">
      <c r="E1113" s="24"/>
      <c r="J1113" s="24"/>
    </row>
    <row r="1114" spans="5:10" x14ac:dyDescent="0.25">
      <c r="E1114" s="24"/>
      <c r="J1114" s="24"/>
    </row>
    <row r="1115" spans="5:10" x14ac:dyDescent="0.25">
      <c r="E1115" s="24"/>
      <c r="J1115" s="24"/>
    </row>
    <row r="1116" spans="5:10" x14ac:dyDescent="0.25">
      <c r="E1116" s="24"/>
      <c r="J1116" s="24"/>
    </row>
    <row r="1117" spans="5:10" x14ac:dyDescent="0.25">
      <c r="E1117" s="24"/>
      <c r="J1117" s="24"/>
    </row>
    <row r="1118" spans="5:10" x14ac:dyDescent="0.25">
      <c r="E1118" s="24"/>
      <c r="J1118" s="24"/>
    </row>
    <row r="1119" spans="5:10" x14ac:dyDescent="0.25">
      <c r="E1119" s="24"/>
      <c r="J1119" s="24"/>
    </row>
    <row r="1120" spans="5:10" x14ac:dyDescent="0.25">
      <c r="E1120" s="24"/>
      <c r="J1120" s="24"/>
    </row>
    <row r="1121" spans="5:10" x14ac:dyDescent="0.25">
      <c r="E1121" s="24"/>
      <c r="J1121" s="24"/>
    </row>
    <row r="1122" spans="5:10" x14ac:dyDescent="0.25">
      <c r="E1122" s="24"/>
      <c r="J1122" s="24"/>
    </row>
    <row r="1123" spans="5:10" x14ac:dyDescent="0.25">
      <c r="E1123" s="24"/>
      <c r="J1123" s="24"/>
    </row>
    <row r="1124" spans="5:10" x14ac:dyDescent="0.25">
      <c r="E1124" s="24"/>
      <c r="J1124" s="24"/>
    </row>
    <row r="1125" spans="5:10" x14ac:dyDescent="0.25">
      <c r="E1125" s="24"/>
      <c r="J1125" s="24"/>
    </row>
    <row r="1126" spans="5:10" x14ac:dyDescent="0.25">
      <c r="E1126" s="24"/>
      <c r="J1126" s="24"/>
    </row>
    <row r="1127" spans="5:10" x14ac:dyDescent="0.25">
      <c r="E1127" s="24"/>
      <c r="J1127" s="24"/>
    </row>
    <row r="1128" spans="5:10" x14ac:dyDescent="0.25">
      <c r="E1128" s="24"/>
      <c r="J1128" s="24"/>
    </row>
    <row r="1129" spans="5:10" x14ac:dyDescent="0.25">
      <c r="E1129" s="24"/>
      <c r="J1129" s="24"/>
    </row>
    <row r="1130" spans="5:10" x14ac:dyDescent="0.25">
      <c r="E1130" s="24"/>
      <c r="J1130" s="24"/>
    </row>
    <row r="1131" spans="5:10" x14ac:dyDescent="0.25">
      <c r="E1131" s="24"/>
      <c r="J1131" s="24"/>
    </row>
    <row r="1132" spans="5:10" x14ac:dyDescent="0.25">
      <c r="E1132" s="24"/>
      <c r="J1132" s="24"/>
    </row>
    <row r="1133" spans="5:10" x14ac:dyDescent="0.25">
      <c r="E1133" s="24"/>
      <c r="J1133" s="24"/>
    </row>
    <row r="1134" spans="5:10" x14ac:dyDescent="0.25">
      <c r="E1134" s="24"/>
      <c r="J1134" s="24"/>
    </row>
    <row r="1135" spans="5:10" x14ac:dyDescent="0.25">
      <c r="E1135" s="24"/>
      <c r="J1135" s="24"/>
    </row>
    <row r="1136" spans="5:10" x14ac:dyDescent="0.25">
      <c r="E1136" s="24"/>
      <c r="J1136" s="24"/>
    </row>
    <row r="1137" spans="5:10" x14ac:dyDescent="0.25">
      <c r="E1137" s="24"/>
      <c r="J1137" s="24"/>
    </row>
    <row r="1138" spans="5:10" x14ac:dyDescent="0.25">
      <c r="E1138" s="24"/>
      <c r="J1138" s="24"/>
    </row>
    <row r="1139" spans="5:10" x14ac:dyDescent="0.25">
      <c r="E1139" s="24"/>
      <c r="J1139" s="24"/>
    </row>
    <row r="1140" spans="5:10" x14ac:dyDescent="0.25">
      <c r="E1140" s="24"/>
      <c r="J1140" s="24"/>
    </row>
    <row r="1141" spans="5:10" x14ac:dyDescent="0.25">
      <c r="E1141" s="24"/>
      <c r="J1141" s="24"/>
    </row>
    <row r="1142" spans="5:10" x14ac:dyDescent="0.25">
      <c r="E1142" s="24"/>
      <c r="J1142" s="24"/>
    </row>
    <row r="1143" spans="5:10" x14ac:dyDescent="0.25">
      <c r="E1143" s="24"/>
      <c r="J1143" s="24"/>
    </row>
    <row r="1144" spans="5:10" x14ac:dyDescent="0.25">
      <c r="E1144" s="24"/>
      <c r="J1144" s="24"/>
    </row>
    <row r="1145" spans="5:10" x14ac:dyDescent="0.25">
      <c r="E1145" s="24"/>
      <c r="J1145" s="24"/>
    </row>
    <row r="1146" spans="5:10" x14ac:dyDescent="0.25">
      <c r="E1146" s="24"/>
      <c r="J1146" s="24"/>
    </row>
    <row r="1147" spans="5:10" x14ac:dyDescent="0.25">
      <c r="E1147" s="24"/>
      <c r="J1147" s="24"/>
    </row>
    <row r="1148" spans="5:10" x14ac:dyDescent="0.25">
      <c r="E1148" s="24"/>
      <c r="J1148" s="24"/>
    </row>
    <row r="1149" spans="5:10" x14ac:dyDescent="0.25">
      <c r="E1149" s="24"/>
      <c r="J1149" s="24"/>
    </row>
    <row r="1150" spans="5:10" x14ac:dyDescent="0.25">
      <c r="E1150" s="24"/>
      <c r="J1150" s="24"/>
    </row>
    <row r="1151" spans="5:10" x14ac:dyDescent="0.25">
      <c r="E1151" s="24"/>
      <c r="J1151" s="24"/>
    </row>
    <row r="1152" spans="5:10" x14ac:dyDescent="0.25">
      <c r="E1152" s="24"/>
      <c r="J1152" s="24"/>
    </row>
    <row r="1153" spans="5:10" x14ac:dyDescent="0.25">
      <c r="E1153" s="24"/>
      <c r="J1153" s="24"/>
    </row>
    <row r="1154" spans="5:10" x14ac:dyDescent="0.25">
      <c r="E1154" s="24"/>
      <c r="J1154" s="24"/>
    </row>
    <row r="1155" spans="5:10" x14ac:dyDescent="0.25">
      <c r="E1155" s="24"/>
      <c r="J1155" s="24"/>
    </row>
    <row r="1156" spans="5:10" x14ac:dyDescent="0.25">
      <c r="E1156" s="24"/>
      <c r="J1156" s="24"/>
    </row>
    <row r="1157" spans="5:10" x14ac:dyDescent="0.25">
      <c r="E1157" s="24"/>
      <c r="J1157" s="24"/>
    </row>
    <row r="1158" spans="5:10" x14ac:dyDescent="0.25">
      <c r="E1158" s="24"/>
      <c r="J1158" s="24"/>
    </row>
    <row r="1159" spans="5:10" x14ac:dyDescent="0.25">
      <c r="E1159" s="24"/>
      <c r="J1159" s="24"/>
    </row>
    <row r="1160" spans="5:10" x14ac:dyDescent="0.25">
      <c r="E1160" s="24"/>
      <c r="J1160" s="24"/>
    </row>
    <row r="1161" spans="5:10" x14ac:dyDescent="0.25">
      <c r="E1161" s="24"/>
      <c r="J1161" s="24"/>
    </row>
    <row r="1162" spans="5:10" x14ac:dyDescent="0.25">
      <c r="E1162" s="24"/>
      <c r="J1162" s="24"/>
    </row>
    <row r="1163" spans="5:10" x14ac:dyDescent="0.25">
      <c r="E1163" s="24"/>
      <c r="J1163" s="24"/>
    </row>
    <row r="1164" spans="5:10" x14ac:dyDescent="0.25">
      <c r="E1164" s="24"/>
      <c r="J1164" s="24"/>
    </row>
    <row r="1165" spans="5:10" x14ac:dyDescent="0.25">
      <c r="E1165" s="24"/>
      <c r="J1165" s="24"/>
    </row>
    <row r="1166" spans="5:10" x14ac:dyDescent="0.25">
      <c r="E1166" s="24"/>
      <c r="J1166" s="24"/>
    </row>
    <row r="1167" spans="5:10" x14ac:dyDescent="0.25">
      <c r="E1167" s="24"/>
      <c r="J1167" s="24"/>
    </row>
    <row r="1168" spans="5:10" x14ac:dyDescent="0.25">
      <c r="E1168" s="24"/>
      <c r="J1168" s="24"/>
    </row>
    <row r="1169" spans="5:10" x14ac:dyDescent="0.25">
      <c r="E1169" s="24"/>
      <c r="J1169" s="24"/>
    </row>
    <row r="1170" spans="5:10" x14ac:dyDescent="0.25">
      <c r="E1170" s="24"/>
      <c r="J1170" s="24"/>
    </row>
    <row r="1171" spans="5:10" x14ac:dyDescent="0.25">
      <c r="E1171" s="24"/>
      <c r="J1171" s="24"/>
    </row>
    <row r="1172" spans="5:10" x14ac:dyDescent="0.25">
      <c r="E1172" s="24"/>
      <c r="J1172" s="24"/>
    </row>
    <row r="1173" spans="5:10" x14ac:dyDescent="0.25">
      <c r="E1173" s="24"/>
      <c r="J1173" s="24"/>
    </row>
    <row r="1174" spans="5:10" x14ac:dyDescent="0.25">
      <c r="E1174" s="24"/>
      <c r="J1174" s="24"/>
    </row>
    <row r="1175" spans="5:10" x14ac:dyDescent="0.25">
      <c r="E1175" s="24"/>
      <c r="J1175" s="24"/>
    </row>
    <row r="1176" spans="5:10" x14ac:dyDescent="0.25">
      <c r="E1176" s="24"/>
      <c r="J1176" s="24"/>
    </row>
    <row r="1177" spans="5:10" x14ac:dyDescent="0.25">
      <c r="E1177" s="24"/>
      <c r="J1177" s="24"/>
    </row>
    <row r="1178" spans="5:10" x14ac:dyDescent="0.25">
      <c r="E1178" s="24"/>
      <c r="J1178" s="24"/>
    </row>
    <row r="1179" spans="5:10" x14ac:dyDescent="0.25">
      <c r="E1179" s="24"/>
      <c r="J1179" s="24"/>
    </row>
    <row r="1180" spans="5:10" x14ac:dyDescent="0.25">
      <c r="E1180" s="24"/>
      <c r="J1180" s="24"/>
    </row>
    <row r="1181" spans="5:10" x14ac:dyDescent="0.25">
      <c r="E1181" s="24"/>
      <c r="J1181" s="24"/>
    </row>
    <row r="1182" spans="5:10" x14ac:dyDescent="0.25">
      <c r="E1182" s="24"/>
      <c r="J1182" s="24"/>
    </row>
    <row r="1183" spans="5:10" x14ac:dyDescent="0.25">
      <c r="E1183" s="24"/>
      <c r="J1183" s="24"/>
    </row>
    <row r="1184" spans="5:10" x14ac:dyDescent="0.25">
      <c r="E1184" s="24"/>
      <c r="J1184" s="24"/>
    </row>
    <row r="1185" spans="5:10" x14ac:dyDescent="0.25">
      <c r="E1185" s="24"/>
      <c r="J1185" s="24"/>
    </row>
    <row r="1186" spans="5:10" x14ac:dyDescent="0.25">
      <c r="E1186" s="24"/>
      <c r="J1186" s="24"/>
    </row>
    <row r="1187" spans="5:10" x14ac:dyDescent="0.25">
      <c r="E1187" s="24"/>
      <c r="J1187" s="24"/>
    </row>
    <row r="1188" spans="5:10" x14ac:dyDescent="0.25">
      <c r="E1188" s="24"/>
      <c r="J1188" s="24"/>
    </row>
    <row r="1189" spans="5:10" x14ac:dyDescent="0.25">
      <c r="E1189" s="24"/>
      <c r="J1189" s="24"/>
    </row>
    <row r="1190" spans="5:10" x14ac:dyDescent="0.25">
      <c r="E1190" s="24"/>
      <c r="J1190" s="24"/>
    </row>
    <row r="1191" spans="5:10" x14ac:dyDescent="0.25">
      <c r="E1191" s="24"/>
      <c r="J1191" s="24"/>
    </row>
    <row r="1192" spans="5:10" x14ac:dyDescent="0.25">
      <c r="E1192" s="24"/>
      <c r="J1192" s="24"/>
    </row>
    <row r="1193" spans="5:10" x14ac:dyDescent="0.25">
      <c r="E1193" s="24"/>
      <c r="J1193" s="24"/>
    </row>
    <row r="1194" spans="5:10" x14ac:dyDescent="0.25">
      <c r="E1194" s="24"/>
      <c r="J1194" s="24"/>
    </row>
    <row r="1195" spans="5:10" x14ac:dyDescent="0.25">
      <c r="E1195" s="24"/>
      <c r="J1195" s="24"/>
    </row>
    <row r="1196" spans="5:10" x14ac:dyDescent="0.25">
      <c r="E1196" s="24"/>
      <c r="J1196" s="24"/>
    </row>
    <row r="1197" spans="5:10" x14ac:dyDescent="0.25">
      <c r="E1197" s="24"/>
      <c r="J1197" s="24"/>
    </row>
    <row r="1198" spans="5:10" x14ac:dyDescent="0.25">
      <c r="E1198" s="24"/>
      <c r="J1198" s="24"/>
    </row>
    <row r="1199" spans="5:10" x14ac:dyDescent="0.25">
      <c r="E1199" s="24"/>
      <c r="J1199" s="24"/>
    </row>
    <row r="1200" spans="5:10" x14ac:dyDescent="0.25">
      <c r="E1200" s="24"/>
      <c r="J1200" s="24"/>
    </row>
    <row r="1201" spans="5:10" x14ac:dyDescent="0.25">
      <c r="E1201" s="24"/>
      <c r="J1201" s="24"/>
    </row>
    <row r="1202" spans="5:10" x14ac:dyDescent="0.25">
      <c r="E1202" s="24"/>
      <c r="J1202" s="24"/>
    </row>
    <row r="1203" spans="5:10" x14ac:dyDescent="0.25">
      <c r="E1203" s="24"/>
      <c r="J1203" s="24"/>
    </row>
    <row r="1204" spans="5:10" x14ac:dyDescent="0.25">
      <c r="E1204" s="24"/>
      <c r="J1204" s="24"/>
    </row>
    <row r="1205" spans="5:10" x14ac:dyDescent="0.25">
      <c r="E1205" s="24"/>
      <c r="J1205" s="24"/>
    </row>
    <row r="1206" spans="5:10" x14ac:dyDescent="0.25">
      <c r="E1206" s="24"/>
      <c r="J1206" s="24"/>
    </row>
    <row r="1207" spans="5:10" x14ac:dyDescent="0.25">
      <c r="E1207" s="24"/>
      <c r="J1207" s="24"/>
    </row>
    <row r="1208" spans="5:10" x14ac:dyDescent="0.25">
      <c r="E1208" s="24"/>
      <c r="J1208" s="24"/>
    </row>
    <row r="1209" spans="5:10" x14ac:dyDescent="0.25">
      <c r="E1209" s="24"/>
      <c r="J1209" s="24"/>
    </row>
    <row r="1210" spans="5:10" x14ac:dyDescent="0.25">
      <c r="E1210" s="24"/>
      <c r="J1210" s="24"/>
    </row>
    <row r="1211" spans="5:10" x14ac:dyDescent="0.25">
      <c r="E1211" s="24"/>
      <c r="J1211" s="24"/>
    </row>
    <row r="1212" spans="5:10" x14ac:dyDescent="0.25">
      <c r="E1212" s="24"/>
      <c r="J1212" s="24"/>
    </row>
    <row r="1213" spans="5:10" x14ac:dyDescent="0.25">
      <c r="E1213" s="24"/>
      <c r="J1213" s="24"/>
    </row>
    <row r="1214" spans="5:10" x14ac:dyDescent="0.25">
      <c r="E1214" s="24"/>
      <c r="J1214" s="24"/>
    </row>
    <row r="1215" spans="5:10" x14ac:dyDescent="0.25">
      <c r="E1215" s="24"/>
      <c r="J1215" s="24"/>
    </row>
    <row r="1216" spans="5:10" x14ac:dyDescent="0.25">
      <c r="E1216" s="24"/>
      <c r="J1216" s="24"/>
    </row>
    <row r="1217" spans="5:10" x14ac:dyDescent="0.25">
      <c r="E1217" s="24"/>
      <c r="J1217" s="24"/>
    </row>
    <row r="1218" spans="5:10" x14ac:dyDescent="0.25">
      <c r="E1218" s="24"/>
      <c r="J1218" s="24"/>
    </row>
    <row r="1219" spans="5:10" x14ac:dyDescent="0.25">
      <c r="E1219" s="24"/>
      <c r="J1219" s="24"/>
    </row>
    <row r="1220" spans="5:10" x14ac:dyDescent="0.25">
      <c r="E1220" s="24"/>
      <c r="J1220" s="24"/>
    </row>
    <row r="1221" spans="5:10" x14ac:dyDescent="0.25">
      <c r="E1221" s="24"/>
      <c r="J1221" s="24"/>
    </row>
    <row r="1222" spans="5:10" x14ac:dyDescent="0.25">
      <c r="E1222" s="24"/>
      <c r="J1222" s="24"/>
    </row>
    <row r="1223" spans="5:10" x14ac:dyDescent="0.25">
      <c r="E1223" s="24"/>
      <c r="J1223" s="24"/>
    </row>
    <row r="1224" spans="5:10" x14ac:dyDescent="0.25">
      <c r="E1224" s="24"/>
      <c r="J1224" s="24"/>
    </row>
    <row r="1225" spans="5:10" x14ac:dyDescent="0.25">
      <c r="E1225" s="24"/>
      <c r="J1225" s="24"/>
    </row>
    <row r="1226" spans="5:10" x14ac:dyDescent="0.25">
      <c r="E1226" s="24"/>
      <c r="J1226" s="24"/>
    </row>
    <row r="1227" spans="5:10" x14ac:dyDescent="0.25">
      <c r="E1227" s="24"/>
      <c r="J1227" s="24"/>
    </row>
    <row r="1228" spans="5:10" x14ac:dyDescent="0.25">
      <c r="E1228" s="24"/>
      <c r="J1228" s="24"/>
    </row>
    <row r="1229" spans="5:10" x14ac:dyDescent="0.25">
      <c r="E1229" s="24"/>
      <c r="J1229" s="24"/>
    </row>
    <row r="1230" spans="5:10" x14ac:dyDescent="0.25">
      <c r="E1230" s="24"/>
      <c r="J1230" s="24"/>
    </row>
    <row r="1231" spans="5:10" x14ac:dyDescent="0.25">
      <c r="E1231" s="24"/>
      <c r="J1231" s="24"/>
    </row>
    <row r="1232" spans="5:10" x14ac:dyDescent="0.25">
      <c r="E1232" s="24"/>
      <c r="J1232" s="24"/>
    </row>
    <row r="1233" spans="5:10" x14ac:dyDescent="0.25">
      <c r="E1233" s="24"/>
      <c r="J1233" s="24"/>
    </row>
    <row r="1234" spans="5:10" x14ac:dyDescent="0.25">
      <c r="E1234" s="24"/>
      <c r="J1234" s="24"/>
    </row>
    <row r="1235" spans="5:10" x14ac:dyDescent="0.25">
      <c r="E1235" s="24"/>
      <c r="J1235" s="24"/>
    </row>
    <row r="1236" spans="5:10" x14ac:dyDescent="0.25">
      <c r="E1236" s="24"/>
      <c r="J1236" s="24"/>
    </row>
    <row r="1237" spans="5:10" x14ac:dyDescent="0.25">
      <c r="E1237" s="24"/>
      <c r="J1237" s="24"/>
    </row>
    <row r="1238" spans="5:10" x14ac:dyDescent="0.25">
      <c r="E1238" s="24"/>
      <c r="J1238" s="24"/>
    </row>
    <row r="1239" spans="5:10" x14ac:dyDescent="0.25">
      <c r="E1239" s="24"/>
      <c r="J1239" s="24"/>
    </row>
    <row r="1240" spans="5:10" x14ac:dyDescent="0.25">
      <c r="E1240" s="24"/>
      <c r="J1240" s="24"/>
    </row>
    <row r="1241" spans="5:10" x14ac:dyDescent="0.25">
      <c r="E1241" s="24"/>
      <c r="J1241" s="24"/>
    </row>
    <row r="1242" spans="5:10" x14ac:dyDescent="0.25">
      <c r="E1242" s="24"/>
      <c r="J1242" s="24"/>
    </row>
    <row r="1243" spans="5:10" x14ac:dyDescent="0.25">
      <c r="E1243" s="24"/>
      <c r="J1243" s="24"/>
    </row>
    <row r="1244" spans="5:10" x14ac:dyDescent="0.25">
      <c r="E1244" s="24"/>
      <c r="J1244" s="24"/>
    </row>
    <row r="1245" spans="5:10" x14ac:dyDescent="0.25">
      <c r="E1245" s="24"/>
      <c r="J1245" s="24"/>
    </row>
    <row r="1246" spans="5:10" x14ac:dyDescent="0.25">
      <c r="E1246" s="24"/>
      <c r="J1246" s="24"/>
    </row>
    <row r="1247" spans="5:10" x14ac:dyDescent="0.25">
      <c r="E1247" s="24"/>
      <c r="J1247" s="24"/>
    </row>
    <row r="1248" spans="5:10" x14ac:dyDescent="0.25">
      <c r="E1248" s="24"/>
      <c r="J1248" s="24"/>
    </row>
    <row r="1249" spans="5:10" x14ac:dyDescent="0.25">
      <c r="E1249" s="24"/>
      <c r="J1249" s="24"/>
    </row>
    <row r="1250" spans="5:10" x14ac:dyDescent="0.25">
      <c r="E1250" s="24"/>
      <c r="J1250" s="24"/>
    </row>
    <row r="1251" spans="5:10" x14ac:dyDescent="0.25">
      <c r="E1251" s="24"/>
      <c r="J1251" s="24"/>
    </row>
    <row r="1252" spans="5:10" x14ac:dyDescent="0.25">
      <c r="E1252" s="24"/>
      <c r="J1252" s="24"/>
    </row>
    <row r="1253" spans="5:10" x14ac:dyDescent="0.25">
      <c r="E1253" s="24"/>
      <c r="J1253" s="24"/>
    </row>
    <row r="1254" spans="5:10" x14ac:dyDescent="0.25">
      <c r="E1254" s="24"/>
      <c r="J1254" s="24"/>
    </row>
    <row r="1255" spans="5:10" x14ac:dyDescent="0.25">
      <c r="E1255" s="24"/>
      <c r="J1255" s="24"/>
    </row>
    <row r="1256" spans="5:10" x14ac:dyDescent="0.25">
      <c r="E1256" s="24"/>
      <c r="J1256" s="24"/>
    </row>
    <row r="1257" spans="5:10" x14ac:dyDescent="0.25">
      <c r="E1257" s="24"/>
      <c r="J1257" s="24"/>
    </row>
    <row r="1258" spans="5:10" x14ac:dyDescent="0.25">
      <c r="E1258" s="24"/>
      <c r="J1258" s="24"/>
    </row>
    <row r="1259" spans="5:10" x14ac:dyDescent="0.25">
      <c r="E1259" s="24"/>
      <c r="J1259" s="24"/>
    </row>
    <row r="1260" spans="5:10" x14ac:dyDescent="0.25">
      <c r="E1260" s="24"/>
      <c r="J1260" s="24"/>
    </row>
    <row r="1261" spans="5:10" x14ac:dyDescent="0.25">
      <c r="E1261" s="24"/>
      <c r="J1261" s="24"/>
    </row>
    <row r="1262" spans="5:10" x14ac:dyDescent="0.25">
      <c r="E1262" s="24"/>
      <c r="J1262" s="24"/>
    </row>
    <row r="1263" spans="5:10" x14ac:dyDescent="0.25">
      <c r="E1263" s="24"/>
      <c r="J1263" s="24"/>
    </row>
    <row r="1264" spans="5:10" x14ac:dyDescent="0.25">
      <c r="E1264" s="24"/>
      <c r="J1264" s="24"/>
    </row>
    <row r="1265" spans="5:10" x14ac:dyDescent="0.25">
      <c r="E1265" s="24"/>
      <c r="J1265" s="24"/>
    </row>
    <row r="1266" spans="5:10" x14ac:dyDescent="0.25">
      <c r="E1266" s="24"/>
      <c r="J1266" s="24"/>
    </row>
    <row r="1267" spans="5:10" x14ac:dyDescent="0.25">
      <c r="E1267" s="24"/>
      <c r="J1267" s="24"/>
    </row>
    <row r="1268" spans="5:10" x14ac:dyDescent="0.25">
      <c r="E1268" s="24"/>
      <c r="J1268" s="24"/>
    </row>
    <row r="1269" spans="5:10" x14ac:dyDescent="0.25">
      <c r="E1269" s="24"/>
      <c r="J1269" s="24"/>
    </row>
    <row r="1270" spans="5:10" x14ac:dyDescent="0.25">
      <c r="E1270" s="24"/>
      <c r="J1270" s="24"/>
    </row>
    <row r="1271" spans="5:10" x14ac:dyDescent="0.25">
      <c r="E1271" s="24"/>
      <c r="J1271" s="24"/>
    </row>
    <row r="1272" spans="5:10" x14ac:dyDescent="0.25">
      <c r="E1272" s="24"/>
      <c r="J1272" s="24"/>
    </row>
    <row r="1273" spans="5:10" x14ac:dyDescent="0.25">
      <c r="E1273" s="24"/>
      <c r="J1273" s="24"/>
    </row>
    <row r="1274" spans="5:10" x14ac:dyDescent="0.25">
      <c r="E1274" s="24"/>
      <c r="J1274" s="24"/>
    </row>
    <row r="1275" spans="5:10" x14ac:dyDescent="0.25">
      <c r="E1275" s="24"/>
      <c r="J1275" s="24"/>
    </row>
    <row r="1276" spans="5:10" x14ac:dyDescent="0.25">
      <c r="E1276" s="24"/>
      <c r="J1276" s="24"/>
    </row>
    <row r="1277" spans="5:10" x14ac:dyDescent="0.25">
      <c r="E1277" s="24"/>
      <c r="J1277" s="24"/>
    </row>
    <row r="1278" spans="5:10" x14ac:dyDescent="0.25">
      <c r="E1278" s="24"/>
      <c r="J1278" s="24"/>
    </row>
    <row r="1279" spans="5:10" x14ac:dyDescent="0.25">
      <c r="E1279" s="24"/>
      <c r="J1279" s="24"/>
    </row>
    <row r="1280" spans="5:10" x14ac:dyDescent="0.25">
      <c r="E1280" s="24"/>
      <c r="J1280" s="24"/>
    </row>
    <row r="1281" spans="5:10" x14ac:dyDescent="0.25">
      <c r="E1281" s="24"/>
      <c r="J1281" s="24"/>
    </row>
    <row r="1282" spans="5:10" x14ac:dyDescent="0.25">
      <c r="E1282" s="24"/>
      <c r="J1282" s="24"/>
    </row>
    <row r="1283" spans="5:10" x14ac:dyDescent="0.25">
      <c r="E1283" s="24"/>
      <c r="J1283" s="24"/>
    </row>
    <row r="1284" spans="5:10" x14ac:dyDescent="0.25">
      <c r="E1284" s="24"/>
      <c r="J1284" s="24"/>
    </row>
    <row r="1285" spans="5:10" x14ac:dyDescent="0.25">
      <c r="E1285" s="24"/>
      <c r="J1285" s="24"/>
    </row>
    <row r="1286" spans="5:10" x14ac:dyDescent="0.25">
      <c r="E1286" s="24"/>
      <c r="J1286" s="24"/>
    </row>
    <row r="1287" spans="5:10" x14ac:dyDescent="0.25">
      <c r="E1287" s="24"/>
      <c r="J1287" s="24"/>
    </row>
    <row r="1288" spans="5:10" x14ac:dyDescent="0.25">
      <c r="E1288" s="24"/>
      <c r="J1288" s="24"/>
    </row>
    <row r="1289" spans="5:10" x14ac:dyDescent="0.25">
      <c r="E1289" s="24"/>
      <c r="J1289" s="24"/>
    </row>
    <row r="1290" spans="5:10" x14ac:dyDescent="0.25">
      <c r="E1290" s="24"/>
      <c r="J1290" s="24"/>
    </row>
    <row r="1291" spans="5:10" x14ac:dyDescent="0.25">
      <c r="E1291" s="24"/>
      <c r="J1291" s="24"/>
    </row>
    <row r="1292" spans="5:10" x14ac:dyDescent="0.25">
      <c r="E1292" s="24"/>
      <c r="J1292" s="24"/>
    </row>
    <row r="1293" spans="5:10" x14ac:dyDescent="0.25">
      <c r="E1293" s="24"/>
      <c r="J1293" s="24"/>
    </row>
    <row r="1294" spans="5:10" x14ac:dyDescent="0.25">
      <c r="E1294" s="24"/>
      <c r="J1294" s="24"/>
    </row>
    <row r="1295" spans="5:10" x14ac:dyDescent="0.25">
      <c r="E1295" s="24"/>
      <c r="J1295" s="24"/>
    </row>
    <row r="1296" spans="5:10" x14ac:dyDescent="0.25">
      <c r="E1296" s="24"/>
      <c r="J1296" s="24"/>
    </row>
    <row r="1297" spans="5:10" x14ac:dyDescent="0.25">
      <c r="E1297" s="24"/>
      <c r="J1297" s="24"/>
    </row>
    <row r="1298" spans="5:10" x14ac:dyDescent="0.25">
      <c r="E1298" s="24"/>
      <c r="J1298" s="24"/>
    </row>
    <row r="1299" spans="5:10" x14ac:dyDescent="0.25">
      <c r="E1299" s="24"/>
      <c r="J1299" s="24"/>
    </row>
    <row r="1300" spans="5:10" x14ac:dyDescent="0.25">
      <c r="E1300" s="24"/>
      <c r="J1300" s="24"/>
    </row>
    <row r="1301" spans="5:10" x14ac:dyDescent="0.25">
      <c r="E1301" s="24"/>
      <c r="J1301" s="24"/>
    </row>
    <row r="1302" spans="5:10" x14ac:dyDescent="0.25">
      <c r="E1302" s="24"/>
      <c r="J1302" s="24"/>
    </row>
    <row r="1303" spans="5:10" x14ac:dyDescent="0.25">
      <c r="E1303" s="24"/>
      <c r="J1303" s="24"/>
    </row>
    <row r="1304" spans="5:10" x14ac:dyDescent="0.25">
      <c r="E1304" s="24"/>
      <c r="J1304" s="24"/>
    </row>
    <row r="1305" spans="5:10" x14ac:dyDescent="0.25">
      <c r="E1305" s="24"/>
      <c r="J1305" s="24"/>
    </row>
    <row r="1306" spans="5:10" x14ac:dyDescent="0.25">
      <c r="E1306" s="24"/>
      <c r="J1306" s="24"/>
    </row>
    <row r="1307" spans="5:10" x14ac:dyDescent="0.25">
      <c r="E1307" s="24"/>
      <c r="J1307" s="24"/>
    </row>
    <row r="1308" spans="5:10" x14ac:dyDescent="0.25">
      <c r="E1308" s="24"/>
      <c r="J1308" s="24"/>
    </row>
    <row r="1309" spans="5:10" x14ac:dyDescent="0.25">
      <c r="E1309" s="24"/>
      <c r="J1309" s="24"/>
    </row>
    <row r="1310" spans="5:10" x14ac:dyDescent="0.25">
      <c r="E1310" s="24"/>
      <c r="J1310" s="24"/>
    </row>
    <row r="1311" spans="5:10" x14ac:dyDescent="0.25">
      <c r="E1311" s="24"/>
      <c r="J1311" s="24"/>
    </row>
    <row r="1312" spans="5:10" x14ac:dyDescent="0.25">
      <c r="E1312" s="24"/>
      <c r="J1312" s="24"/>
    </row>
    <row r="1313" spans="5:10" x14ac:dyDescent="0.25">
      <c r="E1313" s="24"/>
      <c r="J1313" s="24"/>
    </row>
    <row r="1314" spans="5:10" x14ac:dyDescent="0.25">
      <c r="E1314" s="24"/>
      <c r="J1314" s="24"/>
    </row>
    <row r="1315" spans="5:10" x14ac:dyDescent="0.25">
      <c r="E1315" s="24"/>
      <c r="J1315" s="24"/>
    </row>
    <row r="1316" spans="5:10" x14ac:dyDescent="0.25">
      <c r="E1316" s="24"/>
      <c r="J1316" s="24"/>
    </row>
    <row r="1317" spans="5:10" x14ac:dyDescent="0.25">
      <c r="E1317" s="24"/>
      <c r="J1317" s="24"/>
    </row>
    <row r="1318" spans="5:10" x14ac:dyDescent="0.25">
      <c r="E1318" s="24"/>
      <c r="J1318" s="24"/>
    </row>
    <row r="1319" spans="5:10" x14ac:dyDescent="0.25">
      <c r="E1319" s="24"/>
      <c r="J1319" s="24"/>
    </row>
    <row r="1320" spans="5:10" x14ac:dyDescent="0.25">
      <c r="E1320" s="24"/>
      <c r="J1320" s="24"/>
    </row>
    <row r="1321" spans="5:10" x14ac:dyDescent="0.25">
      <c r="E1321" s="24"/>
      <c r="J1321" s="24"/>
    </row>
    <row r="1322" spans="5:10" x14ac:dyDescent="0.25">
      <c r="E1322" s="24"/>
      <c r="J1322" s="24"/>
    </row>
    <row r="1323" spans="5:10" x14ac:dyDescent="0.25">
      <c r="E1323" s="24"/>
      <c r="J1323" s="24"/>
    </row>
    <row r="1324" spans="5:10" x14ac:dyDescent="0.25">
      <c r="E1324" s="24"/>
      <c r="J1324" s="24"/>
    </row>
    <row r="1325" spans="5:10" x14ac:dyDescent="0.25">
      <c r="E1325" s="24"/>
      <c r="J1325" s="24"/>
    </row>
    <row r="1326" spans="5:10" x14ac:dyDescent="0.25">
      <c r="E1326" s="24"/>
      <c r="J1326" s="24"/>
    </row>
    <row r="1327" spans="5:10" x14ac:dyDescent="0.25">
      <c r="E1327" s="24"/>
      <c r="J1327" s="24"/>
    </row>
    <row r="1328" spans="5:10" x14ac:dyDescent="0.25">
      <c r="E1328" s="24"/>
      <c r="J1328" s="24"/>
    </row>
    <row r="1329" spans="5:10" x14ac:dyDescent="0.25">
      <c r="E1329" s="24"/>
      <c r="J1329" s="24"/>
    </row>
    <row r="1330" spans="5:10" x14ac:dyDescent="0.25">
      <c r="E1330" s="24"/>
      <c r="J1330" s="24"/>
    </row>
    <row r="1331" spans="5:10" x14ac:dyDescent="0.25">
      <c r="E1331" s="24"/>
      <c r="J1331" s="24"/>
    </row>
    <row r="1332" spans="5:10" x14ac:dyDescent="0.25">
      <c r="E1332" s="24"/>
      <c r="J1332" s="24"/>
    </row>
    <row r="1333" spans="5:10" x14ac:dyDescent="0.25">
      <c r="E1333" s="24"/>
      <c r="J1333" s="24"/>
    </row>
    <row r="1334" spans="5:10" x14ac:dyDescent="0.25">
      <c r="E1334" s="24"/>
      <c r="J1334" s="24"/>
    </row>
    <row r="1335" spans="5:10" x14ac:dyDescent="0.25">
      <c r="E1335" s="24"/>
      <c r="J1335" s="24"/>
    </row>
    <row r="1336" spans="5:10" x14ac:dyDescent="0.25">
      <c r="E1336" s="24"/>
      <c r="J1336" s="24"/>
    </row>
    <row r="1337" spans="5:10" x14ac:dyDescent="0.25">
      <c r="E1337" s="24"/>
      <c r="J1337" s="24"/>
    </row>
    <row r="1338" spans="5:10" x14ac:dyDescent="0.25">
      <c r="E1338" s="24"/>
      <c r="J1338" s="24"/>
    </row>
    <row r="1339" spans="5:10" x14ac:dyDescent="0.25">
      <c r="E1339" s="24"/>
      <c r="J1339" s="24"/>
    </row>
    <row r="1340" spans="5:10" x14ac:dyDescent="0.25">
      <c r="E1340" s="24"/>
      <c r="J1340" s="24"/>
    </row>
    <row r="1341" spans="5:10" x14ac:dyDescent="0.25">
      <c r="E1341" s="24"/>
      <c r="J1341" s="24"/>
    </row>
    <row r="1342" spans="5:10" x14ac:dyDescent="0.25">
      <c r="E1342" s="24"/>
      <c r="J1342" s="24"/>
    </row>
    <row r="1343" spans="5:10" x14ac:dyDescent="0.25">
      <c r="E1343" s="24"/>
      <c r="J1343" s="24"/>
    </row>
    <row r="1344" spans="5:10" x14ac:dyDescent="0.25">
      <c r="E1344" s="24"/>
      <c r="J1344" s="24"/>
    </row>
    <row r="1345" spans="5:10" x14ac:dyDescent="0.25">
      <c r="E1345" s="24"/>
      <c r="J1345" s="24"/>
    </row>
    <row r="1346" spans="5:10" x14ac:dyDescent="0.25">
      <c r="E1346" s="24"/>
      <c r="J1346" s="24"/>
    </row>
    <row r="1347" spans="5:10" x14ac:dyDescent="0.25">
      <c r="E1347" s="24"/>
      <c r="J1347" s="24"/>
    </row>
    <row r="1348" spans="5:10" x14ac:dyDescent="0.25">
      <c r="E1348" s="24"/>
      <c r="J1348" s="24"/>
    </row>
    <row r="1349" spans="5:10" x14ac:dyDescent="0.25">
      <c r="E1349" s="24"/>
      <c r="J1349" s="24"/>
    </row>
    <row r="1350" spans="5:10" x14ac:dyDescent="0.25">
      <c r="E1350" s="24"/>
      <c r="J1350" s="24"/>
    </row>
    <row r="1351" spans="5:10" x14ac:dyDescent="0.25">
      <c r="E1351" s="24"/>
      <c r="J1351" s="24"/>
    </row>
    <row r="1352" spans="5:10" x14ac:dyDescent="0.25">
      <c r="E1352" s="24"/>
      <c r="J1352" s="24"/>
    </row>
    <row r="1353" spans="5:10" x14ac:dyDescent="0.25">
      <c r="E1353" s="24"/>
      <c r="J1353" s="24"/>
    </row>
    <row r="1354" spans="5:10" x14ac:dyDescent="0.25">
      <c r="E1354" s="24"/>
      <c r="J1354" s="24"/>
    </row>
    <row r="1355" spans="5:10" x14ac:dyDescent="0.25">
      <c r="E1355" s="24"/>
      <c r="J1355" s="24"/>
    </row>
    <row r="1356" spans="5:10" x14ac:dyDescent="0.25">
      <c r="E1356" s="24"/>
      <c r="J1356" s="24"/>
    </row>
    <row r="1357" spans="5:10" x14ac:dyDescent="0.25">
      <c r="E1357" s="24"/>
      <c r="J1357" s="24"/>
    </row>
    <row r="1358" spans="5:10" x14ac:dyDescent="0.25">
      <c r="E1358" s="24"/>
      <c r="J1358" s="24"/>
    </row>
    <row r="1359" spans="5:10" x14ac:dyDescent="0.25">
      <c r="E1359" s="24"/>
      <c r="J1359" s="24"/>
    </row>
    <row r="1360" spans="5:10" x14ac:dyDescent="0.25">
      <c r="E1360" s="24"/>
      <c r="J1360" s="24"/>
    </row>
    <row r="1361" spans="5:10" x14ac:dyDescent="0.25">
      <c r="E1361" s="24"/>
      <c r="J1361" s="24"/>
    </row>
    <row r="1362" spans="5:10" x14ac:dyDescent="0.25">
      <c r="E1362" s="24"/>
      <c r="J1362" s="24"/>
    </row>
    <row r="1363" spans="5:10" x14ac:dyDescent="0.25">
      <c r="E1363" s="24"/>
      <c r="J1363" s="24"/>
    </row>
    <row r="1364" spans="5:10" x14ac:dyDescent="0.25">
      <c r="E1364" s="24"/>
      <c r="J1364" s="24"/>
    </row>
    <row r="1365" spans="5:10" x14ac:dyDescent="0.25">
      <c r="E1365" s="24"/>
      <c r="J1365" s="24"/>
    </row>
    <row r="1366" spans="5:10" x14ac:dyDescent="0.25">
      <c r="E1366" s="24"/>
      <c r="J1366" s="24"/>
    </row>
    <row r="1367" spans="5:10" x14ac:dyDescent="0.25">
      <c r="E1367" s="24"/>
      <c r="J1367" s="24"/>
    </row>
    <row r="1368" spans="5:10" x14ac:dyDescent="0.25">
      <c r="E1368" s="24"/>
      <c r="J1368" s="24"/>
    </row>
    <row r="1369" spans="5:10" x14ac:dyDescent="0.25">
      <c r="E1369" s="24"/>
      <c r="J1369" s="24"/>
    </row>
    <row r="1370" spans="5:10" x14ac:dyDescent="0.25">
      <c r="E1370" s="24"/>
      <c r="J1370" s="24"/>
    </row>
    <row r="1371" spans="5:10" x14ac:dyDescent="0.25">
      <c r="E1371" s="24"/>
      <c r="J1371" s="24"/>
    </row>
    <row r="1372" spans="5:10" x14ac:dyDescent="0.25">
      <c r="E1372" s="24"/>
      <c r="J1372" s="24"/>
    </row>
    <row r="1373" spans="5:10" x14ac:dyDescent="0.25">
      <c r="E1373" s="24"/>
      <c r="J1373" s="24"/>
    </row>
    <row r="1374" spans="5:10" x14ac:dyDescent="0.25">
      <c r="E1374" s="24"/>
      <c r="J1374" s="24"/>
    </row>
    <row r="1375" spans="5:10" x14ac:dyDescent="0.25">
      <c r="E1375" s="24"/>
      <c r="J1375" s="24"/>
    </row>
    <row r="1376" spans="5:10" x14ac:dyDescent="0.25">
      <c r="E1376" s="24"/>
      <c r="J1376" s="24"/>
    </row>
    <row r="1377" spans="5:10" x14ac:dyDescent="0.25">
      <c r="E1377" s="24"/>
      <c r="J1377" s="24"/>
    </row>
    <row r="1378" spans="5:10" x14ac:dyDescent="0.25">
      <c r="E1378" s="24"/>
      <c r="J1378" s="24"/>
    </row>
    <row r="1379" spans="5:10" x14ac:dyDescent="0.25">
      <c r="E1379" s="24"/>
      <c r="J1379" s="24"/>
    </row>
    <row r="1380" spans="5:10" x14ac:dyDescent="0.25">
      <c r="E1380" s="24"/>
      <c r="J1380" s="24"/>
    </row>
    <row r="1381" spans="5:10" x14ac:dyDescent="0.25">
      <c r="E1381" s="24"/>
      <c r="J1381" s="24"/>
    </row>
    <row r="1382" spans="5:10" x14ac:dyDescent="0.25">
      <c r="E1382" s="24"/>
      <c r="J1382" s="24"/>
    </row>
    <row r="1383" spans="5:10" x14ac:dyDescent="0.25">
      <c r="E1383" s="24"/>
      <c r="J1383" s="24"/>
    </row>
    <row r="1384" spans="5:10" x14ac:dyDescent="0.25">
      <c r="E1384" s="24"/>
      <c r="J1384" s="24"/>
    </row>
    <row r="1385" spans="5:10" x14ac:dyDescent="0.25">
      <c r="E1385" s="24"/>
      <c r="J1385" s="24"/>
    </row>
    <row r="1386" spans="5:10" x14ac:dyDescent="0.25">
      <c r="E1386" s="24"/>
      <c r="J1386" s="24"/>
    </row>
    <row r="1387" spans="5:10" x14ac:dyDescent="0.25">
      <c r="E1387" s="24"/>
      <c r="J1387" s="24"/>
    </row>
    <row r="1388" spans="5:10" x14ac:dyDescent="0.25">
      <c r="E1388" s="24"/>
      <c r="J1388" s="24"/>
    </row>
    <row r="1389" spans="5:10" x14ac:dyDescent="0.25">
      <c r="E1389" s="24"/>
      <c r="J1389" s="24"/>
    </row>
    <row r="1390" spans="5:10" x14ac:dyDescent="0.25">
      <c r="E1390" s="24"/>
      <c r="J1390" s="24"/>
    </row>
    <row r="1391" spans="5:10" x14ac:dyDescent="0.25">
      <c r="E1391" s="24"/>
      <c r="J1391" s="24"/>
    </row>
    <row r="1392" spans="5:10" x14ac:dyDescent="0.25">
      <c r="E1392" s="24"/>
      <c r="J1392" s="24"/>
    </row>
    <row r="1393" spans="5:10" x14ac:dyDescent="0.25">
      <c r="E1393" s="24"/>
      <c r="J1393" s="24"/>
    </row>
    <row r="1394" spans="5:10" x14ac:dyDescent="0.25">
      <c r="E1394" s="24"/>
      <c r="J1394" s="24"/>
    </row>
    <row r="1395" spans="5:10" x14ac:dyDescent="0.25">
      <c r="E1395" s="24"/>
      <c r="J1395" s="24"/>
    </row>
    <row r="1396" spans="5:10" x14ac:dyDescent="0.25">
      <c r="E1396" s="24"/>
      <c r="J1396" s="24"/>
    </row>
    <row r="1397" spans="5:10" x14ac:dyDescent="0.25">
      <c r="E1397" s="24"/>
      <c r="J1397" s="24"/>
    </row>
    <row r="1398" spans="5:10" x14ac:dyDescent="0.25">
      <c r="E1398" s="24"/>
      <c r="J1398" s="24"/>
    </row>
    <row r="1399" spans="5:10" x14ac:dyDescent="0.25">
      <c r="E1399" s="24"/>
      <c r="J1399" s="24"/>
    </row>
    <row r="1400" spans="5:10" x14ac:dyDescent="0.25">
      <c r="E1400" s="24"/>
      <c r="J1400" s="24"/>
    </row>
    <row r="1401" spans="5:10" x14ac:dyDescent="0.25">
      <c r="E1401" s="24"/>
      <c r="J1401" s="24"/>
    </row>
    <row r="1402" spans="5:10" x14ac:dyDescent="0.25">
      <c r="E1402" s="24"/>
      <c r="J1402" s="24"/>
    </row>
    <row r="1403" spans="5:10" x14ac:dyDescent="0.25">
      <c r="E1403" s="24"/>
      <c r="J1403" s="24"/>
    </row>
    <row r="1404" spans="5:10" x14ac:dyDescent="0.25">
      <c r="E1404" s="24"/>
      <c r="J1404" s="24"/>
    </row>
    <row r="1405" spans="5:10" x14ac:dyDescent="0.25">
      <c r="E1405" s="24"/>
      <c r="J1405" s="24"/>
    </row>
    <row r="1406" spans="5:10" x14ac:dyDescent="0.25">
      <c r="E1406" s="24"/>
      <c r="J1406" s="24"/>
    </row>
    <row r="1407" spans="5:10" x14ac:dyDescent="0.25">
      <c r="E1407" s="24"/>
      <c r="J1407" s="24"/>
    </row>
    <row r="1408" spans="5:10" x14ac:dyDescent="0.25">
      <c r="E1408" s="24"/>
      <c r="J1408" s="24"/>
    </row>
    <row r="1409" spans="5:10" x14ac:dyDescent="0.25">
      <c r="E1409" s="24"/>
      <c r="J1409" s="24"/>
    </row>
    <row r="1410" spans="5:10" x14ac:dyDescent="0.25">
      <c r="E1410" s="24"/>
      <c r="J1410" s="24"/>
    </row>
    <row r="1411" spans="5:10" x14ac:dyDescent="0.25">
      <c r="E1411" s="24"/>
      <c r="J1411" s="24"/>
    </row>
    <row r="1412" spans="5:10" x14ac:dyDescent="0.25">
      <c r="E1412" s="24"/>
      <c r="J1412" s="24"/>
    </row>
    <row r="1413" spans="5:10" x14ac:dyDescent="0.25">
      <c r="E1413" s="24"/>
      <c r="J1413" s="24"/>
    </row>
    <row r="1414" spans="5:10" x14ac:dyDescent="0.25">
      <c r="E1414" s="24"/>
      <c r="J1414" s="24"/>
    </row>
    <row r="1415" spans="5:10" x14ac:dyDescent="0.25">
      <c r="E1415" s="24"/>
      <c r="J1415" s="24"/>
    </row>
    <row r="1416" spans="5:10" x14ac:dyDescent="0.25">
      <c r="E1416" s="24"/>
      <c r="J1416" s="24"/>
    </row>
    <row r="1417" spans="5:10" x14ac:dyDescent="0.25">
      <c r="E1417" s="24"/>
      <c r="J1417" s="24"/>
    </row>
    <row r="1418" spans="5:10" x14ac:dyDescent="0.25">
      <c r="E1418" s="24"/>
      <c r="J1418" s="24"/>
    </row>
    <row r="1419" spans="5:10" x14ac:dyDescent="0.25">
      <c r="E1419" s="24"/>
      <c r="J1419" s="24"/>
    </row>
    <row r="1420" spans="5:10" x14ac:dyDescent="0.25">
      <c r="E1420" s="24"/>
      <c r="J1420" s="24"/>
    </row>
    <row r="1421" spans="5:10" x14ac:dyDescent="0.25">
      <c r="E1421" s="24"/>
      <c r="J1421" s="24"/>
    </row>
    <row r="1422" spans="5:10" x14ac:dyDescent="0.25">
      <c r="E1422" s="24"/>
      <c r="J1422" s="24"/>
    </row>
    <row r="1423" spans="5:10" x14ac:dyDescent="0.25">
      <c r="E1423" s="24"/>
      <c r="J1423" s="24"/>
    </row>
    <row r="1424" spans="5:10" x14ac:dyDescent="0.25">
      <c r="E1424" s="24"/>
      <c r="J1424" s="24"/>
    </row>
    <row r="1425" spans="5:10" x14ac:dyDescent="0.25">
      <c r="E1425" s="24"/>
      <c r="J1425" s="24"/>
    </row>
    <row r="1426" spans="5:10" x14ac:dyDescent="0.25">
      <c r="E1426" s="24"/>
      <c r="J1426" s="24"/>
    </row>
    <row r="1427" spans="5:10" x14ac:dyDescent="0.25">
      <c r="E1427" s="24"/>
      <c r="J1427" s="24"/>
    </row>
    <row r="1428" spans="5:10" x14ac:dyDescent="0.25">
      <c r="E1428" s="24"/>
      <c r="J1428" s="24"/>
    </row>
    <row r="1429" spans="5:10" x14ac:dyDescent="0.25">
      <c r="E1429" s="24"/>
      <c r="J1429" s="24"/>
    </row>
    <row r="1430" spans="5:10" x14ac:dyDescent="0.25">
      <c r="E1430" s="24"/>
      <c r="J1430" s="24"/>
    </row>
    <row r="1431" spans="5:10" x14ac:dyDescent="0.25">
      <c r="E1431" s="24"/>
      <c r="J1431" s="24"/>
    </row>
    <row r="1432" spans="5:10" x14ac:dyDescent="0.25">
      <c r="E1432" s="24"/>
      <c r="J1432" s="24"/>
    </row>
    <row r="1433" spans="5:10" x14ac:dyDescent="0.25">
      <c r="E1433" s="24"/>
      <c r="J1433" s="24"/>
    </row>
    <row r="1434" spans="5:10" x14ac:dyDescent="0.25">
      <c r="E1434" s="24"/>
      <c r="J1434" s="24"/>
    </row>
    <row r="1435" spans="5:10" x14ac:dyDescent="0.25">
      <c r="E1435" s="24"/>
      <c r="J1435" s="24"/>
    </row>
    <row r="1436" spans="5:10" x14ac:dyDescent="0.25">
      <c r="E1436" s="24"/>
      <c r="J1436" s="24"/>
    </row>
    <row r="1437" spans="5:10" x14ac:dyDescent="0.25">
      <c r="E1437" s="24"/>
      <c r="J1437" s="24"/>
    </row>
    <row r="1438" spans="5:10" x14ac:dyDescent="0.25">
      <c r="E1438" s="24"/>
      <c r="J1438" s="24"/>
    </row>
    <row r="1439" spans="5:10" x14ac:dyDescent="0.25">
      <c r="E1439" s="24"/>
      <c r="J1439" s="24"/>
    </row>
    <row r="1440" spans="5:10" x14ac:dyDescent="0.25">
      <c r="E1440" s="24"/>
      <c r="J1440" s="24"/>
    </row>
    <row r="1441" spans="5:10" x14ac:dyDescent="0.25">
      <c r="E1441" s="24"/>
      <c r="J1441" s="24"/>
    </row>
    <row r="1442" spans="5:10" x14ac:dyDescent="0.25">
      <c r="E1442" s="24"/>
      <c r="J1442" s="24"/>
    </row>
    <row r="1443" spans="5:10" x14ac:dyDescent="0.25">
      <c r="E1443" s="24"/>
      <c r="J1443" s="24"/>
    </row>
    <row r="1444" spans="5:10" x14ac:dyDescent="0.25">
      <c r="E1444" s="24"/>
      <c r="J1444" s="24"/>
    </row>
    <row r="1445" spans="5:10" x14ac:dyDescent="0.25">
      <c r="E1445" s="24"/>
      <c r="J1445" s="24"/>
    </row>
    <row r="1446" spans="5:10" x14ac:dyDescent="0.25">
      <c r="E1446" s="24"/>
      <c r="J1446" s="24"/>
    </row>
    <row r="1447" spans="5:10" x14ac:dyDescent="0.25">
      <c r="E1447" s="24"/>
      <c r="J1447" s="24"/>
    </row>
    <row r="1448" spans="5:10" x14ac:dyDescent="0.25">
      <c r="E1448" s="24"/>
      <c r="J1448" s="24"/>
    </row>
    <row r="1449" spans="5:10" x14ac:dyDescent="0.25">
      <c r="E1449" s="24"/>
      <c r="J1449" s="24"/>
    </row>
    <row r="1450" spans="5:10" x14ac:dyDescent="0.25">
      <c r="E1450" s="24"/>
      <c r="J1450" s="24"/>
    </row>
    <row r="1451" spans="5:10" x14ac:dyDescent="0.25">
      <c r="E1451" s="24"/>
      <c r="J1451" s="24"/>
    </row>
    <row r="1452" spans="5:10" x14ac:dyDescent="0.25">
      <c r="E1452" s="24"/>
      <c r="J1452" s="24"/>
    </row>
    <row r="1453" spans="5:10" x14ac:dyDescent="0.25">
      <c r="E1453" s="24"/>
      <c r="J1453" s="24"/>
    </row>
    <row r="1454" spans="5:10" x14ac:dyDescent="0.25">
      <c r="E1454" s="24"/>
      <c r="J1454" s="24"/>
    </row>
    <row r="1455" spans="5:10" x14ac:dyDescent="0.25">
      <c r="E1455" s="24"/>
      <c r="J1455" s="24"/>
    </row>
    <row r="1456" spans="5:10" x14ac:dyDescent="0.25">
      <c r="E1456" s="24"/>
      <c r="J1456" s="24"/>
    </row>
    <row r="1457" spans="5:10" x14ac:dyDescent="0.25">
      <c r="E1457" s="24"/>
      <c r="J1457" s="24"/>
    </row>
    <row r="1458" spans="5:10" x14ac:dyDescent="0.25">
      <c r="E1458" s="24"/>
      <c r="J1458" s="24"/>
    </row>
    <row r="1459" spans="5:10" x14ac:dyDescent="0.25">
      <c r="E1459" s="24"/>
      <c r="J1459" s="24"/>
    </row>
    <row r="1460" spans="5:10" x14ac:dyDescent="0.25">
      <c r="E1460" s="24"/>
      <c r="J1460" s="24"/>
    </row>
    <row r="1461" spans="5:10" x14ac:dyDescent="0.25">
      <c r="E1461" s="24"/>
      <c r="J1461" s="24"/>
    </row>
    <row r="1462" spans="5:10" x14ac:dyDescent="0.25">
      <c r="E1462" s="24"/>
      <c r="J1462" s="24"/>
    </row>
    <row r="1463" spans="5:10" x14ac:dyDescent="0.25">
      <c r="E1463" s="24"/>
      <c r="J1463" s="24"/>
    </row>
    <row r="1464" spans="5:10" x14ac:dyDescent="0.25">
      <c r="E1464" s="24"/>
      <c r="J1464" s="24"/>
    </row>
    <row r="1465" spans="5:10" x14ac:dyDescent="0.25">
      <c r="E1465" s="24"/>
      <c r="J1465" s="24"/>
    </row>
    <row r="1466" spans="5:10" x14ac:dyDescent="0.25">
      <c r="E1466" s="24"/>
      <c r="J1466" s="24"/>
    </row>
    <row r="1467" spans="5:10" x14ac:dyDescent="0.25">
      <c r="E1467" s="24"/>
      <c r="J1467" s="24"/>
    </row>
    <row r="1468" spans="5:10" x14ac:dyDescent="0.25">
      <c r="E1468" s="24"/>
      <c r="J1468" s="24"/>
    </row>
    <row r="1469" spans="5:10" x14ac:dyDescent="0.25">
      <c r="E1469" s="24"/>
      <c r="J1469" s="24"/>
    </row>
    <row r="1470" spans="5:10" x14ac:dyDescent="0.25">
      <c r="E1470" s="24"/>
      <c r="J1470" s="24"/>
    </row>
    <row r="1471" spans="5:10" x14ac:dyDescent="0.25">
      <c r="E1471" s="24"/>
      <c r="J1471" s="24"/>
    </row>
    <row r="1472" spans="5:10" x14ac:dyDescent="0.25">
      <c r="E1472" s="24"/>
      <c r="J1472" s="24"/>
    </row>
    <row r="1473" spans="5:10" x14ac:dyDescent="0.25">
      <c r="E1473" s="24"/>
      <c r="J1473" s="24"/>
    </row>
    <row r="1474" spans="5:10" x14ac:dyDescent="0.25">
      <c r="E1474" s="24"/>
      <c r="J1474" s="24"/>
    </row>
    <row r="1475" spans="5:10" x14ac:dyDescent="0.25">
      <c r="E1475" s="24"/>
      <c r="J1475" s="24"/>
    </row>
    <row r="1476" spans="5:10" x14ac:dyDescent="0.25">
      <c r="E1476" s="24"/>
      <c r="J1476" s="24"/>
    </row>
    <row r="1477" spans="5:10" x14ac:dyDescent="0.25">
      <c r="E1477" s="24"/>
      <c r="J1477" s="24"/>
    </row>
    <row r="1478" spans="5:10" x14ac:dyDescent="0.25">
      <c r="E1478" s="24"/>
      <c r="J1478" s="24"/>
    </row>
    <row r="1479" spans="5:10" x14ac:dyDescent="0.25">
      <c r="E1479" s="24"/>
      <c r="J1479" s="24"/>
    </row>
    <row r="1480" spans="5:10" x14ac:dyDescent="0.25">
      <c r="E1480" s="24"/>
      <c r="J1480" s="24"/>
    </row>
    <row r="1481" spans="5:10" x14ac:dyDescent="0.25">
      <c r="E1481" s="24"/>
      <c r="J1481" s="24"/>
    </row>
    <row r="1482" spans="5:10" x14ac:dyDescent="0.25">
      <c r="E1482" s="24"/>
      <c r="J1482" s="24"/>
    </row>
    <row r="1483" spans="5:10" x14ac:dyDescent="0.25">
      <c r="E1483" s="24"/>
      <c r="J1483" s="24"/>
    </row>
    <row r="1484" spans="5:10" x14ac:dyDescent="0.25">
      <c r="E1484" s="24"/>
      <c r="J1484" s="24"/>
    </row>
    <row r="1485" spans="5:10" x14ac:dyDescent="0.25">
      <c r="E1485" s="24"/>
      <c r="J1485" s="24"/>
    </row>
    <row r="1486" spans="5:10" x14ac:dyDescent="0.25">
      <c r="E1486" s="24"/>
      <c r="J1486" s="24"/>
    </row>
    <row r="1487" spans="5:10" x14ac:dyDescent="0.25">
      <c r="E1487" s="24"/>
      <c r="J1487" s="24"/>
    </row>
    <row r="1488" spans="5:10" x14ac:dyDescent="0.25">
      <c r="E1488" s="24"/>
      <c r="J1488" s="24"/>
    </row>
    <row r="1489" spans="5:10" x14ac:dyDescent="0.25">
      <c r="E1489" s="24"/>
      <c r="J1489" s="24"/>
    </row>
    <row r="1490" spans="5:10" x14ac:dyDescent="0.25">
      <c r="E1490" s="24"/>
      <c r="J1490" s="24"/>
    </row>
    <row r="1491" spans="5:10" x14ac:dyDescent="0.25">
      <c r="E1491" s="24"/>
      <c r="J1491" s="24"/>
    </row>
    <row r="1492" spans="5:10" x14ac:dyDescent="0.25">
      <c r="E1492" s="24"/>
      <c r="J1492" s="24"/>
    </row>
    <row r="1493" spans="5:10" x14ac:dyDescent="0.25">
      <c r="E1493" s="24"/>
      <c r="J1493" s="24"/>
    </row>
    <row r="1494" spans="5:10" x14ac:dyDescent="0.25">
      <c r="E1494" s="24"/>
      <c r="J1494" s="24"/>
    </row>
    <row r="1495" spans="5:10" x14ac:dyDescent="0.25">
      <c r="E1495" s="24"/>
      <c r="J1495" s="24"/>
    </row>
    <row r="1496" spans="5:10" x14ac:dyDescent="0.25">
      <c r="E1496" s="24"/>
      <c r="J1496" s="24"/>
    </row>
    <row r="1497" spans="5:10" x14ac:dyDescent="0.25">
      <c r="E1497" s="24"/>
      <c r="J1497" s="24"/>
    </row>
    <row r="1498" spans="5:10" x14ac:dyDescent="0.25">
      <c r="E1498" s="24"/>
      <c r="J1498" s="24"/>
    </row>
    <row r="1499" spans="5:10" x14ac:dyDescent="0.25">
      <c r="E1499" s="24"/>
      <c r="J1499" s="24"/>
    </row>
    <row r="1500" spans="5:10" x14ac:dyDescent="0.25">
      <c r="E1500" s="24"/>
      <c r="J1500" s="24"/>
    </row>
    <row r="1501" spans="5:10" x14ac:dyDescent="0.25">
      <c r="E1501" s="24"/>
      <c r="J1501" s="24"/>
    </row>
    <row r="1502" spans="5:10" x14ac:dyDescent="0.25">
      <c r="E1502" s="24"/>
      <c r="J1502" s="24"/>
    </row>
    <row r="1503" spans="5:10" x14ac:dyDescent="0.25">
      <c r="E1503" s="24"/>
      <c r="J1503" s="24"/>
    </row>
    <row r="1504" spans="5:10" x14ac:dyDescent="0.25">
      <c r="E1504" s="24"/>
      <c r="J1504" s="24"/>
    </row>
    <row r="1505" spans="5:10" x14ac:dyDescent="0.25">
      <c r="E1505" s="24"/>
      <c r="J1505" s="24"/>
    </row>
    <row r="1506" spans="5:10" x14ac:dyDescent="0.25">
      <c r="E1506" s="24"/>
      <c r="J1506" s="24"/>
    </row>
    <row r="1507" spans="5:10" x14ac:dyDescent="0.25">
      <c r="E1507" s="24"/>
      <c r="J1507" s="24"/>
    </row>
    <row r="1508" spans="5:10" x14ac:dyDescent="0.25">
      <c r="E1508" s="24"/>
      <c r="J1508" s="24"/>
    </row>
    <row r="1509" spans="5:10" x14ac:dyDescent="0.25">
      <c r="E1509" s="24"/>
      <c r="J1509" s="24"/>
    </row>
    <row r="1510" spans="5:10" x14ac:dyDescent="0.25">
      <c r="E1510" s="24"/>
      <c r="J1510" s="24"/>
    </row>
    <row r="1511" spans="5:10" x14ac:dyDescent="0.25">
      <c r="E1511" s="24"/>
      <c r="J1511" s="24"/>
    </row>
    <row r="1512" spans="5:10" x14ac:dyDescent="0.25">
      <c r="E1512" s="24"/>
      <c r="J1512" s="24"/>
    </row>
    <row r="1513" spans="5:10" x14ac:dyDescent="0.25">
      <c r="E1513" s="24"/>
      <c r="J1513" s="24"/>
    </row>
    <row r="1514" spans="5:10" x14ac:dyDescent="0.25">
      <c r="E1514" s="24"/>
      <c r="J1514" s="24"/>
    </row>
    <row r="1515" spans="5:10" x14ac:dyDescent="0.25">
      <c r="E1515" s="24"/>
      <c r="J1515" s="24"/>
    </row>
    <row r="1516" spans="5:10" x14ac:dyDescent="0.25">
      <c r="E1516" s="24"/>
      <c r="J1516" s="24"/>
    </row>
    <row r="1517" spans="5:10" x14ac:dyDescent="0.25">
      <c r="E1517" s="24"/>
      <c r="J1517" s="24"/>
    </row>
    <row r="1518" spans="5:10" x14ac:dyDescent="0.25">
      <c r="E1518" s="24"/>
      <c r="J1518" s="24"/>
    </row>
    <row r="1519" spans="5:10" x14ac:dyDescent="0.25">
      <c r="E1519" s="24"/>
      <c r="J1519" s="24"/>
    </row>
    <row r="1520" spans="5:10" x14ac:dyDescent="0.25">
      <c r="E1520" s="24"/>
      <c r="J1520" s="24"/>
    </row>
    <row r="1521" spans="5:10" x14ac:dyDescent="0.25">
      <c r="E1521" s="24"/>
      <c r="J1521" s="24"/>
    </row>
    <row r="1522" spans="5:10" x14ac:dyDescent="0.25">
      <c r="E1522" s="24"/>
      <c r="J1522" s="24"/>
    </row>
    <row r="1523" spans="5:10" x14ac:dyDescent="0.25">
      <c r="E1523" s="24"/>
      <c r="J1523" s="24"/>
    </row>
    <row r="1524" spans="5:10" x14ac:dyDescent="0.25">
      <c r="E1524" s="24"/>
      <c r="J1524" s="24"/>
    </row>
    <row r="1525" spans="5:10" x14ac:dyDescent="0.25">
      <c r="E1525" s="24"/>
      <c r="J1525" s="24"/>
    </row>
    <row r="1526" spans="5:10" x14ac:dyDescent="0.25">
      <c r="E1526" s="24"/>
      <c r="J1526" s="24"/>
    </row>
    <row r="1527" spans="5:10" x14ac:dyDescent="0.25">
      <c r="E1527" s="24"/>
      <c r="J1527" s="24"/>
    </row>
    <row r="1528" spans="5:10" x14ac:dyDescent="0.25">
      <c r="E1528" s="24"/>
      <c r="J1528" s="24"/>
    </row>
    <row r="1529" spans="5:10" x14ac:dyDescent="0.25">
      <c r="E1529" s="24"/>
      <c r="J1529" s="24"/>
    </row>
    <row r="1530" spans="5:10" x14ac:dyDescent="0.25">
      <c r="E1530" s="24"/>
      <c r="J1530" s="24"/>
    </row>
    <row r="1531" spans="5:10" x14ac:dyDescent="0.25">
      <c r="E1531" s="24"/>
      <c r="J1531" s="24"/>
    </row>
    <row r="1532" spans="5:10" x14ac:dyDescent="0.25">
      <c r="E1532" s="24"/>
      <c r="J1532" s="24"/>
    </row>
    <row r="1533" spans="5:10" x14ac:dyDescent="0.25">
      <c r="E1533" s="24"/>
      <c r="J1533" s="24"/>
    </row>
    <row r="1534" spans="5:10" x14ac:dyDescent="0.25">
      <c r="E1534" s="24"/>
      <c r="J1534" s="24"/>
    </row>
    <row r="1535" spans="5:10" x14ac:dyDescent="0.25">
      <c r="E1535" s="24"/>
      <c r="J1535" s="24"/>
    </row>
    <row r="1536" spans="5:10" x14ac:dyDescent="0.25">
      <c r="E1536" s="24"/>
      <c r="J1536" s="24"/>
    </row>
    <row r="1537" spans="5:10" x14ac:dyDescent="0.25">
      <c r="E1537" s="24"/>
      <c r="J1537" s="24"/>
    </row>
    <row r="1538" spans="5:10" x14ac:dyDescent="0.25">
      <c r="E1538" s="24"/>
      <c r="J1538" s="24"/>
    </row>
    <row r="1539" spans="5:10" x14ac:dyDescent="0.25">
      <c r="E1539" s="24"/>
      <c r="J1539" s="24"/>
    </row>
    <row r="1540" spans="5:10" x14ac:dyDescent="0.25">
      <c r="E1540" s="24"/>
      <c r="J1540" s="24"/>
    </row>
    <row r="1541" spans="5:10" x14ac:dyDescent="0.25">
      <c r="E1541" s="24"/>
      <c r="J1541" s="24"/>
    </row>
    <row r="1542" spans="5:10" x14ac:dyDescent="0.25">
      <c r="E1542" s="24"/>
      <c r="J1542" s="24"/>
    </row>
    <row r="1543" spans="5:10" x14ac:dyDescent="0.25">
      <c r="E1543" s="24"/>
      <c r="J1543" s="24"/>
    </row>
    <row r="1544" spans="5:10" x14ac:dyDescent="0.25">
      <c r="E1544" s="24"/>
      <c r="J1544" s="24"/>
    </row>
    <row r="1545" spans="5:10" x14ac:dyDescent="0.25">
      <c r="E1545" s="24"/>
      <c r="J1545" s="24"/>
    </row>
    <row r="1546" spans="5:10" x14ac:dyDescent="0.25">
      <c r="E1546" s="24"/>
      <c r="J1546" s="24"/>
    </row>
    <row r="1547" spans="5:10" x14ac:dyDescent="0.25">
      <c r="E1547" s="24"/>
      <c r="J1547" s="24"/>
    </row>
    <row r="1548" spans="5:10" x14ac:dyDescent="0.25">
      <c r="E1548" s="24"/>
      <c r="J1548" s="24"/>
    </row>
    <row r="1549" spans="5:10" x14ac:dyDescent="0.25">
      <c r="E1549" s="24"/>
      <c r="J1549" s="24"/>
    </row>
    <row r="1550" spans="5:10" x14ac:dyDescent="0.25">
      <c r="E1550" s="24"/>
      <c r="J1550" s="24"/>
    </row>
    <row r="1551" spans="5:10" x14ac:dyDescent="0.25">
      <c r="E1551" s="24"/>
      <c r="J1551" s="24"/>
    </row>
    <row r="1552" spans="5:10" x14ac:dyDescent="0.25">
      <c r="E1552" s="24"/>
      <c r="J1552" s="24"/>
    </row>
    <row r="1553" spans="5:10" x14ac:dyDescent="0.25">
      <c r="E1553" s="24"/>
      <c r="J1553" s="24"/>
    </row>
    <row r="1554" spans="5:10" x14ac:dyDescent="0.25">
      <c r="E1554" s="24"/>
      <c r="J1554" s="24"/>
    </row>
    <row r="1555" spans="5:10" x14ac:dyDescent="0.25">
      <c r="E1555" s="24"/>
      <c r="J1555" s="24"/>
    </row>
    <row r="1556" spans="5:10" x14ac:dyDescent="0.25">
      <c r="E1556" s="24"/>
      <c r="J1556" s="24"/>
    </row>
    <row r="1557" spans="5:10" x14ac:dyDescent="0.25">
      <c r="E1557" s="24"/>
      <c r="J1557" s="24"/>
    </row>
    <row r="1558" spans="5:10" x14ac:dyDescent="0.25">
      <c r="E1558" s="24"/>
      <c r="J1558" s="24"/>
    </row>
    <row r="1559" spans="5:10" x14ac:dyDescent="0.25">
      <c r="E1559" s="24"/>
      <c r="J1559" s="24"/>
    </row>
    <row r="1560" spans="5:10" x14ac:dyDescent="0.25">
      <c r="E1560" s="24"/>
      <c r="J1560" s="24"/>
    </row>
    <row r="1561" spans="5:10" x14ac:dyDescent="0.25">
      <c r="E1561" s="24"/>
      <c r="J1561" s="24"/>
    </row>
    <row r="1562" spans="5:10" x14ac:dyDescent="0.25">
      <c r="E1562" s="24"/>
      <c r="J1562" s="24"/>
    </row>
    <row r="1563" spans="5:10" x14ac:dyDescent="0.25">
      <c r="E1563" s="24"/>
      <c r="J1563" s="24"/>
    </row>
    <row r="1564" spans="5:10" x14ac:dyDescent="0.25">
      <c r="E1564" s="24"/>
      <c r="J1564" s="24"/>
    </row>
    <row r="1565" spans="5:10" x14ac:dyDescent="0.25">
      <c r="E1565" s="24"/>
      <c r="J1565" s="24"/>
    </row>
    <row r="1566" spans="5:10" x14ac:dyDescent="0.25">
      <c r="E1566" s="24"/>
      <c r="J1566" s="24"/>
    </row>
    <row r="1567" spans="5:10" x14ac:dyDescent="0.25">
      <c r="E1567" s="24"/>
      <c r="J1567" s="24"/>
    </row>
    <row r="1568" spans="5:10" x14ac:dyDescent="0.25">
      <c r="E1568" s="24"/>
      <c r="J1568" s="24"/>
    </row>
    <row r="1569" spans="5:10" x14ac:dyDescent="0.25">
      <c r="E1569" s="24"/>
      <c r="J1569" s="24"/>
    </row>
    <row r="1570" spans="5:10" x14ac:dyDescent="0.25">
      <c r="E1570" s="24"/>
      <c r="J1570" s="24"/>
    </row>
    <row r="1571" spans="5:10" x14ac:dyDescent="0.25">
      <c r="E1571" s="24"/>
      <c r="J1571" s="24"/>
    </row>
    <row r="1572" spans="5:10" x14ac:dyDescent="0.25">
      <c r="E1572" s="24"/>
      <c r="J1572" s="24"/>
    </row>
    <row r="1573" spans="5:10" x14ac:dyDescent="0.25">
      <c r="E1573" s="24"/>
      <c r="J1573" s="24"/>
    </row>
    <row r="1574" spans="5:10" x14ac:dyDescent="0.25">
      <c r="E1574" s="24"/>
      <c r="J1574" s="24"/>
    </row>
    <row r="1575" spans="5:10" x14ac:dyDescent="0.25">
      <c r="E1575" s="24"/>
      <c r="J1575" s="24"/>
    </row>
    <row r="1576" spans="5:10" x14ac:dyDescent="0.25">
      <c r="E1576" s="24"/>
      <c r="J1576" s="24"/>
    </row>
    <row r="1577" spans="5:10" x14ac:dyDescent="0.25">
      <c r="E1577" s="24"/>
      <c r="J1577" s="24"/>
    </row>
    <row r="1578" spans="5:10" x14ac:dyDescent="0.25">
      <c r="E1578" s="24"/>
      <c r="J1578" s="24"/>
    </row>
    <row r="1579" spans="5:10" x14ac:dyDescent="0.25">
      <c r="E1579" s="24"/>
      <c r="J1579" s="24"/>
    </row>
    <row r="1580" spans="5:10" x14ac:dyDescent="0.25">
      <c r="E1580" s="24"/>
      <c r="J1580" s="24"/>
    </row>
    <row r="1581" spans="5:10" x14ac:dyDescent="0.25">
      <c r="E1581" s="24"/>
      <c r="J1581" s="24"/>
    </row>
    <row r="1582" spans="5:10" x14ac:dyDescent="0.25">
      <c r="E1582" s="24"/>
      <c r="J1582" s="24"/>
    </row>
    <row r="1583" spans="5:10" x14ac:dyDescent="0.25">
      <c r="E1583" s="24"/>
      <c r="J1583" s="24"/>
    </row>
    <row r="1584" spans="5:10" x14ac:dyDescent="0.25">
      <c r="E1584" s="24"/>
      <c r="J1584" s="24"/>
    </row>
    <row r="1585" spans="5:10" x14ac:dyDescent="0.25">
      <c r="E1585" s="24"/>
      <c r="J1585" s="24"/>
    </row>
    <row r="1586" spans="5:10" x14ac:dyDescent="0.25">
      <c r="E1586" s="24"/>
      <c r="J1586" s="24"/>
    </row>
    <row r="1587" spans="5:10" x14ac:dyDescent="0.25">
      <c r="E1587" s="24"/>
      <c r="J1587" s="24"/>
    </row>
    <row r="1588" spans="5:10" x14ac:dyDescent="0.25">
      <c r="E1588" s="24"/>
      <c r="J1588" s="24"/>
    </row>
    <row r="1589" spans="5:10" x14ac:dyDescent="0.25">
      <c r="E1589" s="24"/>
      <c r="J1589" s="24"/>
    </row>
    <row r="1590" spans="5:10" x14ac:dyDescent="0.25">
      <c r="E1590" s="24"/>
      <c r="J1590" s="24"/>
    </row>
    <row r="1591" spans="5:10" x14ac:dyDescent="0.25">
      <c r="E1591" s="24"/>
      <c r="J1591" s="24"/>
    </row>
    <row r="1592" spans="5:10" x14ac:dyDescent="0.25">
      <c r="E1592" s="24"/>
      <c r="J1592" s="24"/>
    </row>
    <row r="1593" spans="5:10" x14ac:dyDescent="0.25">
      <c r="E1593" s="24"/>
      <c r="J1593" s="24"/>
    </row>
    <row r="1594" spans="5:10" x14ac:dyDescent="0.25">
      <c r="E1594" s="24"/>
      <c r="J1594" s="24"/>
    </row>
    <row r="1595" spans="5:10" x14ac:dyDescent="0.25">
      <c r="E1595" s="24"/>
      <c r="J1595" s="24"/>
    </row>
    <row r="1596" spans="5:10" x14ac:dyDescent="0.25">
      <c r="E1596" s="24"/>
      <c r="J1596" s="24"/>
    </row>
    <row r="1597" spans="5:10" x14ac:dyDescent="0.25">
      <c r="E1597" s="24"/>
      <c r="J1597" s="24"/>
    </row>
    <row r="1598" spans="5:10" x14ac:dyDescent="0.25">
      <c r="E1598" s="24"/>
      <c r="J1598" s="24"/>
    </row>
    <row r="1599" spans="5:10" x14ac:dyDescent="0.25">
      <c r="E1599" s="24"/>
      <c r="J1599" s="24"/>
    </row>
    <row r="1600" spans="5:10" x14ac:dyDescent="0.25">
      <c r="E1600" s="24"/>
      <c r="J1600" s="24"/>
    </row>
    <row r="1601" spans="5:10" x14ac:dyDescent="0.25">
      <c r="E1601" s="24"/>
      <c r="J1601" s="24"/>
    </row>
    <row r="1602" spans="5:10" x14ac:dyDescent="0.25">
      <c r="E1602" s="24"/>
      <c r="J1602" s="24"/>
    </row>
    <row r="1603" spans="5:10" x14ac:dyDescent="0.25">
      <c r="E1603" s="24"/>
      <c r="J1603" s="24"/>
    </row>
    <row r="1604" spans="5:10" x14ac:dyDescent="0.25">
      <c r="E1604" s="24"/>
      <c r="J1604" s="24"/>
    </row>
    <row r="1605" spans="5:10" x14ac:dyDescent="0.25">
      <c r="E1605" s="24"/>
      <c r="J1605" s="24"/>
    </row>
    <row r="1606" spans="5:10" x14ac:dyDescent="0.25">
      <c r="E1606" s="24"/>
      <c r="J1606" s="24"/>
    </row>
    <row r="1607" spans="5:10" x14ac:dyDescent="0.25">
      <c r="E1607" s="24"/>
      <c r="J1607" s="24"/>
    </row>
    <row r="1608" spans="5:10" x14ac:dyDescent="0.25">
      <c r="E1608" s="24"/>
      <c r="J1608" s="24"/>
    </row>
    <row r="1609" spans="5:10" x14ac:dyDescent="0.25">
      <c r="E1609" s="24"/>
      <c r="J1609" s="24"/>
    </row>
    <row r="1610" spans="5:10" x14ac:dyDescent="0.25">
      <c r="E1610" s="24"/>
      <c r="J1610" s="24"/>
    </row>
    <row r="1611" spans="5:10" x14ac:dyDescent="0.25">
      <c r="E1611" s="24"/>
      <c r="J1611" s="24"/>
    </row>
    <row r="1612" spans="5:10" x14ac:dyDescent="0.25">
      <c r="E1612" s="24"/>
      <c r="J1612" s="24"/>
    </row>
    <row r="1613" spans="5:10" x14ac:dyDescent="0.25">
      <c r="E1613" s="24"/>
      <c r="J1613" s="24"/>
    </row>
    <row r="1614" spans="5:10" x14ac:dyDescent="0.25">
      <c r="E1614" s="24"/>
      <c r="J1614" s="24"/>
    </row>
    <row r="1615" spans="5:10" x14ac:dyDescent="0.25">
      <c r="E1615" s="24"/>
      <c r="J1615" s="24"/>
    </row>
    <row r="1616" spans="5:10" x14ac:dyDescent="0.25">
      <c r="E1616" s="24"/>
      <c r="J1616" s="24"/>
    </row>
    <row r="1617" spans="5:10" x14ac:dyDescent="0.25">
      <c r="E1617" s="24"/>
      <c r="J1617" s="24"/>
    </row>
    <row r="1618" spans="5:10" x14ac:dyDescent="0.25">
      <c r="E1618" s="24"/>
      <c r="J1618" s="24"/>
    </row>
    <row r="1619" spans="5:10" x14ac:dyDescent="0.25">
      <c r="E1619" s="24"/>
      <c r="J1619" s="24"/>
    </row>
    <row r="1620" spans="5:10" x14ac:dyDescent="0.25">
      <c r="E1620" s="24"/>
      <c r="J1620" s="24"/>
    </row>
    <row r="1621" spans="5:10" x14ac:dyDescent="0.25">
      <c r="E1621" s="24"/>
      <c r="J1621" s="24"/>
    </row>
    <row r="1622" spans="5:10" x14ac:dyDescent="0.25">
      <c r="E1622" s="24"/>
      <c r="J1622" s="24"/>
    </row>
    <row r="1623" spans="5:10" x14ac:dyDescent="0.25">
      <c r="E1623" s="24"/>
      <c r="J1623" s="24"/>
    </row>
    <row r="1624" spans="5:10" x14ac:dyDescent="0.25">
      <c r="E1624" s="24"/>
      <c r="J1624" s="24"/>
    </row>
    <row r="1625" spans="5:10" x14ac:dyDescent="0.25">
      <c r="E1625" s="24"/>
      <c r="J1625" s="24"/>
    </row>
    <row r="1626" spans="5:10" x14ac:dyDescent="0.25">
      <c r="E1626" s="24"/>
      <c r="J1626" s="24"/>
    </row>
    <row r="1627" spans="5:10" x14ac:dyDescent="0.25">
      <c r="E1627" s="24"/>
      <c r="J1627" s="24"/>
    </row>
    <row r="1628" spans="5:10" x14ac:dyDescent="0.25">
      <c r="E1628" s="24"/>
      <c r="J1628" s="24"/>
    </row>
    <row r="1629" spans="5:10" x14ac:dyDescent="0.25">
      <c r="E1629" s="24"/>
      <c r="J1629" s="24"/>
    </row>
    <row r="1630" spans="5:10" x14ac:dyDescent="0.25">
      <c r="E1630" s="24"/>
      <c r="J1630" s="24"/>
    </row>
    <row r="1631" spans="5:10" x14ac:dyDescent="0.25">
      <c r="E1631" s="24"/>
      <c r="J1631" s="24"/>
    </row>
    <row r="1632" spans="5:10" x14ac:dyDescent="0.25">
      <c r="E1632" s="24"/>
      <c r="J1632" s="24"/>
    </row>
    <row r="1633" spans="5:10" x14ac:dyDescent="0.25">
      <c r="E1633" s="24"/>
      <c r="J1633" s="24"/>
    </row>
    <row r="1634" spans="5:10" x14ac:dyDescent="0.25">
      <c r="E1634" s="24"/>
      <c r="J1634" s="24"/>
    </row>
    <row r="1635" spans="5:10" x14ac:dyDescent="0.25">
      <c r="E1635" s="24"/>
      <c r="J1635" s="24"/>
    </row>
    <row r="1636" spans="5:10" x14ac:dyDescent="0.25">
      <c r="E1636" s="24"/>
      <c r="J1636" s="24"/>
    </row>
    <row r="1637" spans="5:10" x14ac:dyDescent="0.25">
      <c r="E1637" s="24"/>
      <c r="J1637" s="24"/>
    </row>
    <row r="1638" spans="5:10" x14ac:dyDescent="0.25">
      <c r="E1638" s="24"/>
      <c r="J1638" s="24"/>
    </row>
    <row r="1639" spans="5:10" x14ac:dyDescent="0.25">
      <c r="E1639" s="24"/>
      <c r="J1639" s="24"/>
    </row>
    <row r="1640" spans="5:10" x14ac:dyDescent="0.25">
      <c r="E1640" s="24"/>
      <c r="J1640" s="24"/>
    </row>
    <row r="1641" spans="5:10" x14ac:dyDescent="0.25">
      <c r="E1641" s="24"/>
      <c r="J1641" s="24"/>
    </row>
    <row r="1642" spans="5:10" x14ac:dyDescent="0.25">
      <c r="E1642" s="24"/>
      <c r="J1642" s="24"/>
    </row>
    <row r="1643" spans="5:10" x14ac:dyDescent="0.25">
      <c r="E1643" s="24"/>
      <c r="J1643" s="24"/>
    </row>
    <row r="1644" spans="5:10" x14ac:dyDescent="0.25">
      <c r="E1644" s="24"/>
      <c r="J1644" s="24"/>
    </row>
    <row r="1645" spans="5:10" x14ac:dyDescent="0.25">
      <c r="E1645" s="24"/>
      <c r="J1645" s="24"/>
    </row>
    <row r="1646" spans="5:10" x14ac:dyDescent="0.25">
      <c r="E1646" s="24"/>
      <c r="J1646" s="24"/>
    </row>
    <row r="1647" spans="5:10" x14ac:dyDescent="0.25">
      <c r="E1647" s="24"/>
      <c r="J1647" s="24"/>
    </row>
    <row r="1648" spans="5:10" x14ac:dyDescent="0.25">
      <c r="E1648" s="24"/>
      <c r="J1648" s="24"/>
    </row>
    <row r="1649" spans="5:10" x14ac:dyDescent="0.25">
      <c r="E1649" s="24"/>
      <c r="J1649" s="24"/>
    </row>
    <row r="1650" spans="5:10" x14ac:dyDescent="0.25">
      <c r="E1650" s="24"/>
      <c r="J1650" s="24"/>
    </row>
    <row r="1651" spans="5:10" x14ac:dyDescent="0.25">
      <c r="E1651" s="24"/>
      <c r="J1651" s="24"/>
    </row>
    <row r="1652" spans="5:10" x14ac:dyDescent="0.25">
      <c r="E1652" s="24"/>
      <c r="J1652" s="24"/>
    </row>
    <row r="1653" spans="5:10" x14ac:dyDescent="0.25">
      <c r="E1653" s="24"/>
      <c r="J1653" s="24"/>
    </row>
    <row r="1654" spans="5:10" x14ac:dyDescent="0.25">
      <c r="E1654" s="24"/>
      <c r="J1654" s="24"/>
    </row>
    <row r="1655" spans="5:10" x14ac:dyDescent="0.25">
      <c r="E1655" s="24"/>
      <c r="J1655" s="24"/>
    </row>
    <row r="1656" spans="5:10" x14ac:dyDescent="0.25">
      <c r="E1656" s="24"/>
      <c r="J1656" s="24"/>
    </row>
    <row r="1657" spans="5:10" x14ac:dyDescent="0.25">
      <c r="E1657" s="24"/>
      <c r="J1657" s="24"/>
    </row>
    <row r="1658" spans="5:10" x14ac:dyDescent="0.25">
      <c r="E1658" s="24"/>
      <c r="J1658" s="24"/>
    </row>
    <row r="1659" spans="5:10" x14ac:dyDescent="0.25">
      <c r="E1659" s="24"/>
      <c r="J1659" s="24"/>
    </row>
    <row r="1660" spans="5:10" x14ac:dyDescent="0.25">
      <c r="E1660" s="24"/>
      <c r="J1660" s="24"/>
    </row>
    <row r="1661" spans="5:10" x14ac:dyDescent="0.25">
      <c r="E1661" s="24"/>
      <c r="J1661" s="24"/>
    </row>
    <row r="1662" spans="5:10" x14ac:dyDescent="0.25">
      <c r="E1662" s="24"/>
      <c r="J1662" s="24"/>
    </row>
    <row r="1663" spans="5:10" x14ac:dyDescent="0.25">
      <c r="E1663" s="24"/>
      <c r="J1663" s="24"/>
    </row>
    <row r="1664" spans="5:10" x14ac:dyDescent="0.25">
      <c r="E1664" s="24"/>
      <c r="J1664" s="24"/>
    </row>
    <row r="1665" spans="5:10" x14ac:dyDescent="0.25">
      <c r="E1665" s="24"/>
      <c r="J1665" s="24"/>
    </row>
    <row r="1666" spans="5:10" x14ac:dyDescent="0.25">
      <c r="E1666" s="24"/>
      <c r="J1666" s="24"/>
    </row>
    <row r="1667" spans="5:10" x14ac:dyDescent="0.25">
      <c r="E1667" s="24"/>
      <c r="J1667" s="24"/>
    </row>
    <row r="1668" spans="5:10" x14ac:dyDescent="0.25">
      <c r="E1668" s="24"/>
      <c r="J1668" s="24"/>
    </row>
    <row r="1669" spans="5:10" x14ac:dyDescent="0.25">
      <c r="E1669" s="24"/>
      <c r="J1669" s="24"/>
    </row>
    <row r="1670" spans="5:10" x14ac:dyDescent="0.25">
      <c r="E1670" s="24"/>
      <c r="J1670" s="24"/>
    </row>
    <row r="1671" spans="5:10" x14ac:dyDescent="0.25">
      <c r="E1671" s="24"/>
      <c r="J1671" s="24"/>
    </row>
    <row r="1672" spans="5:10" x14ac:dyDescent="0.25">
      <c r="E1672" s="24"/>
      <c r="J1672" s="24"/>
    </row>
    <row r="1673" spans="5:10" x14ac:dyDescent="0.25">
      <c r="E1673" s="24"/>
      <c r="J1673" s="24"/>
    </row>
    <row r="1674" spans="5:10" x14ac:dyDescent="0.25">
      <c r="E1674" s="24"/>
      <c r="J1674" s="24"/>
    </row>
    <row r="1675" spans="5:10" x14ac:dyDescent="0.25">
      <c r="E1675" s="24"/>
      <c r="J1675" s="24"/>
    </row>
    <row r="1676" spans="5:10" x14ac:dyDescent="0.25">
      <c r="E1676" s="24"/>
      <c r="J1676" s="24"/>
    </row>
    <row r="1677" spans="5:10" x14ac:dyDescent="0.25">
      <c r="E1677" s="24"/>
      <c r="J1677" s="24"/>
    </row>
    <row r="1678" spans="5:10" x14ac:dyDescent="0.25">
      <c r="E1678" s="24"/>
      <c r="J1678" s="24"/>
    </row>
    <row r="1679" spans="5:10" x14ac:dyDescent="0.25">
      <c r="E1679" s="24"/>
      <c r="J1679" s="24"/>
    </row>
    <row r="1680" spans="5:10" x14ac:dyDescent="0.25">
      <c r="E1680" s="24"/>
      <c r="J1680" s="24"/>
    </row>
    <row r="1681" spans="5:10" x14ac:dyDescent="0.25">
      <c r="E1681" s="24"/>
      <c r="J1681" s="24"/>
    </row>
    <row r="1682" spans="5:10" x14ac:dyDescent="0.25">
      <c r="E1682" s="24"/>
      <c r="J1682" s="24"/>
    </row>
    <row r="1683" spans="5:10" x14ac:dyDescent="0.25">
      <c r="E1683" s="24"/>
      <c r="J1683" s="24"/>
    </row>
    <row r="1684" spans="5:10" x14ac:dyDescent="0.25">
      <c r="E1684" s="24"/>
      <c r="J1684" s="24"/>
    </row>
    <row r="1685" spans="5:10" x14ac:dyDescent="0.25">
      <c r="E1685" s="24"/>
      <c r="J1685" s="24"/>
    </row>
    <row r="1686" spans="5:10" x14ac:dyDescent="0.25">
      <c r="E1686" s="24"/>
      <c r="J1686" s="24"/>
    </row>
    <row r="1687" spans="5:10" x14ac:dyDescent="0.25">
      <c r="E1687" s="24"/>
      <c r="J1687" s="24"/>
    </row>
    <row r="1688" spans="5:10" x14ac:dyDescent="0.25">
      <c r="E1688" s="24"/>
      <c r="J1688" s="24"/>
    </row>
    <row r="1689" spans="5:10" x14ac:dyDescent="0.25">
      <c r="E1689" s="24"/>
      <c r="J1689" s="24"/>
    </row>
    <row r="1690" spans="5:10" x14ac:dyDescent="0.25">
      <c r="E1690" s="24"/>
      <c r="J1690" s="24"/>
    </row>
    <row r="1691" spans="5:10" x14ac:dyDescent="0.25">
      <c r="E1691" s="24"/>
      <c r="J1691" s="24"/>
    </row>
    <row r="1692" spans="5:10" x14ac:dyDescent="0.25">
      <c r="E1692" s="24"/>
      <c r="J1692" s="24"/>
    </row>
    <row r="1693" spans="5:10" x14ac:dyDescent="0.25">
      <c r="E1693" s="24"/>
      <c r="J1693" s="24"/>
    </row>
    <row r="1694" spans="5:10" x14ac:dyDescent="0.25">
      <c r="E1694" s="24"/>
      <c r="J1694" s="24"/>
    </row>
    <row r="1695" spans="5:10" x14ac:dyDescent="0.25">
      <c r="E1695" s="24"/>
      <c r="J1695" s="24"/>
    </row>
    <row r="1696" spans="5:10" x14ac:dyDescent="0.25">
      <c r="E1696" s="24"/>
      <c r="J1696" s="24"/>
    </row>
    <row r="1697" spans="5:10" x14ac:dyDescent="0.25">
      <c r="E1697" s="24"/>
      <c r="J1697" s="24"/>
    </row>
    <row r="1698" spans="5:10" x14ac:dyDescent="0.25">
      <c r="E1698" s="24"/>
      <c r="J1698" s="24"/>
    </row>
    <row r="1699" spans="5:10" x14ac:dyDescent="0.25">
      <c r="E1699" s="24"/>
      <c r="J1699" s="24"/>
    </row>
    <row r="1700" spans="5:10" x14ac:dyDescent="0.25">
      <c r="E1700" s="24"/>
      <c r="J1700" s="24"/>
    </row>
    <row r="1701" spans="5:10" x14ac:dyDescent="0.25">
      <c r="E1701" s="24"/>
      <c r="J1701" s="24"/>
    </row>
    <row r="1702" spans="5:10" x14ac:dyDescent="0.25">
      <c r="E1702" s="24"/>
      <c r="J1702" s="24"/>
    </row>
    <row r="1703" spans="5:10" x14ac:dyDescent="0.25">
      <c r="E1703" s="24"/>
      <c r="J1703" s="24"/>
    </row>
    <row r="1704" spans="5:10" x14ac:dyDescent="0.25">
      <c r="E1704" s="24"/>
      <c r="J1704" s="24"/>
    </row>
    <row r="1705" spans="5:10" x14ac:dyDescent="0.25">
      <c r="E1705" s="24"/>
      <c r="J1705" s="24"/>
    </row>
    <row r="1706" spans="5:10" x14ac:dyDescent="0.25">
      <c r="E1706" s="24"/>
      <c r="J1706" s="24"/>
    </row>
    <row r="1707" spans="5:10" x14ac:dyDescent="0.25">
      <c r="E1707" s="24"/>
      <c r="J1707" s="24"/>
    </row>
    <row r="1708" spans="5:10" x14ac:dyDescent="0.25">
      <c r="E1708" s="24"/>
      <c r="J1708" s="24"/>
    </row>
    <row r="1709" spans="5:10" x14ac:dyDescent="0.25">
      <c r="E1709" s="24"/>
      <c r="J1709" s="24"/>
    </row>
    <row r="1710" spans="5:10" x14ac:dyDescent="0.25">
      <c r="E1710" s="24"/>
      <c r="J1710" s="24"/>
    </row>
    <row r="1711" spans="5:10" x14ac:dyDescent="0.25">
      <c r="E1711" s="24"/>
      <c r="J1711" s="24"/>
    </row>
    <row r="1712" spans="5:10" x14ac:dyDescent="0.25">
      <c r="E1712" s="24"/>
      <c r="J1712" s="24"/>
    </row>
    <row r="1713" spans="5:10" x14ac:dyDescent="0.25">
      <c r="E1713" s="24"/>
      <c r="J1713" s="24"/>
    </row>
    <row r="1714" spans="5:10" x14ac:dyDescent="0.25">
      <c r="E1714" s="24"/>
      <c r="J1714" s="24"/>
    </row>
    <row r="1715" spans="5:10" x14ac:dyDescent="0.25">
      <c r="E1715" s="24"/>
      <c r="J1715" s="24"/>
    </row>
    <row r="1716" spans="5:10" x14ac:dyDescent="0.25">
      <c r="E1716" s="24"/>
      <c r="J1716" s="24"/>
    </row>
    <row r="1717" spans="5:10" x14ac:dyDescent="0.25">
      <c r="E1717" s="24"/>
      <c r="J1717" s="24"/>
    </row>
    <row r="1718" spans="5:10" x14ac:dyDescent="0.25">
      <c r="E1718" s="24"/>
      <c r="J1718" s="24"/>
    </row>
    <row r="1719" spans="5:10" x14ac:dyDescent="0.25">
      <c r="E1719" s="24"/>
      <c r="J1719" s="24"/>
    </row>
    <row r="1720" spans="5:10" x14ac:dyDescent="0.25">
      <c r="E1720" s="24"/>
      <c r="J1720" s="24"/>
    </row>
    <row r="1721" spans="5:10" x14ac:dyDescent="0.25">
      <c r="E1721" s="24"/>
      <c r="J1721" s="24"/>
    </row>
    <row r="1722" spans="5:10" x14ac:dyDescent="0.25">
      <c r="E1722" s="24"/>
      <c r="J1722" s="24"/>
    </row>
    <row r="1723" spans="5:10" x14ac:dyDescent="0.25">
      <c r="E1723" s="24"/>
      <c r="J1723" s="24"/>
    </row>
    <row r="1724" spans="5:10" x14ac:dyDescent="0.25">
      <c r="E1724" s="24"/>
      <c r="J1724" s="24"/>
    </row>
    <row r="1725" spans="5:10" x14ac:dyDescent="0.25">
      <c r="E1725" s="24"/>
      <c r="J1725" s="24"/>
    </row>
    <row r="1726" spans="5:10" x14ac:dyDescent="0.25">
      <c r="E1726" s="24"/>
      <c r="J1726" s="24"/>
    </row>
    <row r="1727" spans="5:10" x14ac:dyDescent="0.25">
      <c r="E1727" s="24"/>
      <c r="J1727" s="24"/>
    </row>
    <row r="1728" spans="5:10" x14ac:dyDescent="0.25">
      <c r="E1728" s="24"/>
      <c r="J1728" s="24"/>
    </row>
    <row r="1729" spans="5:10" x14ac:dyDescent="0.25">
      <c r="E1729" s="24"/>
      <c r="J1729" s="24"/>
    </row>
    <row r="1730" spans="5:10" x14ac:dyDescent="0.25">
      <c r="E1730" s="24"/>
      <c r="J1730" s="24"/>
    </row>
    <row r="1731" spans="5:10" x14ac:dyDescent="0.25">
      <c r="E1731" s="24"/>
      <c r="J1731" s="24"/>
    </row>
    <row r="1732" spans="5:10" x14ac:dyDescent="0.25">
      <c r="E1732" s="24"/>
      <c r="J1732" s="24"/>
    </row>
    <row r="1733" spans="5:10" x14ac:dyDescent="0.25">
      <c r="E1733" s="24"/>
      <c r="J1733" s="24"/>
    </row>
    <row r="1734" spans="5:10" x14ac:dyDescent="0.25">
      <c r="E1734" s="24"/>
      <c r="J1734" s="24"/>
    </row>
    <row r="1735" spans="5:10" x14ac:dyDescent="0.25">
      <c r="E1735" s="24"/>
      <c r="J1735" s="24"/>
    </row>
    <row r="1736" spans="5:10" x14ac:dyDescent="0.25">
      <c r="E1736" s="24"/>
      <c r="J1736" s="24"/>
    </row>
    <row r="1737" spans="5:10" x14ac:dyDescent="0.25">
      <c r="E1737" s="24"/>
      <c r="J1737" s="24"/>
    </row>
    <row r="1738" spans="5:10" x14ac:dyDescent="0.25">
      <c r="E1738" s="24"/>
      <c r="J1738" s="24"/>
    </row>
    <row r="1739" spans="5:10" x14ac:dyDescent="0.25">
      <c r="E1739" s="24"/>
      <c r="J1739" s="24"/>
    </row>
    <row r="1740" spans="5:10" x14ac:dyDescent="0.25">
      <c r="E1740" s="24"/>
      <c r="J1740" s="24"/>
    </row>
    <row r="1741" spans="5:10" x14ac:dyDescent="0.25">
      <c r="E1741" s="24"/>
      <c r="J1741" s="24"/>
    </row>
    <row r="1742" spans="5:10" x14ac:dyDescent="0.25">
      <c r="E1742" s="24"/>
      <c r="J1742" s="24"/>
    </row>
    <row r="1743" spans="5:10" x14ac:dyDescent="0.25">
      <c r="E1743" s="24"/>
      <c r="J1743" s="24"/>
    </row>
    <row r="1744" spans="5:10" x14ac:dyDescent="0.25">
      <c r="E1744" s="24"/>
      <c r="J1744" s="24"/>
    </row>
    <row r="1745" spans="5:10" x14ac:dyDescent="0.25">
      <c r="E1745" s="24"/>
      <c r="J1745" s="24"/>
    </row>
    <row r="1746" spans="5:10" x14ac:dyDescent="0.25">
      <c r="E1746" s="24"/>
      <c r="J1746" s="24"/>
    </row>
    <row r="1747" spans="5:10" x14ac:dyDescent="0.25">
      <c r="E1747" s="24"/>
      <c r="J1747" s="24"/>
    </row>
    <row r="1748" spans="5:10" x14ac:dyDescent="0.25">
      <c r="E1748" s="24"/>
      <c r="J1748" s="24"/>
    </row>
    <row r="1749" spans="5:10" x14ac:dyDescent="0.25">
      <c r="E1749" s="24"/>
      <c r="J1749" s="24"/>
    </row>
    <row r="1750" spans="5:10" x14ac:dyDescent="0.25">
      <c r="E1750" s="24"/>
      <c r="J1750" s="24"/>
    </row>
    <row r="1751" spans="5:10" x14ac:dyDescent="0.25">
      <c r="E1751" s="24"/>
      <c r="J1751" s="24"/>
    </row>
    <row r="1752" spans="5:10" x14ac:dyDescent="0.25">
      <c r="E1752" s="24"/>
      <c r="J1752" s="24"/>
    </row>
    <row r="1753" spans="5:10" x14ac:dyDescent="0.25">
      <c r="E1753" s="24"/>
      <c r="J1753" s="24"/>
    </row>
    <row r="1754" spans="5:10" x14ac:dyDescent="0.25">
      <c r="E1754" s="24"/>
      <c r="J1754" s="24"/>
    </row>
    <row r="1755" spans="5:10" x14ac:dyDescent="0.25">
      <c r="E1755" s="24"/>
      <c r="J1755" s="24"/>
    </row>
    <row r="1756" spans="5:10" x14ac:dyDescent="0.25">
      <c r="E1756" s="24"/>
      <c r="J1756" s="24"/>
    </row>
    <row r="1757" spans="5:10" x14ac:dyDescent="0.25">
      <c r="E1757" s="24"/>
      <c r="J1757" s="24"/>
    </row>
    <row r="1758" spans="5:10" x14ac:dyDescent="0.25">
      <c r="E1758" s="24"/>
      <c r="J1758" s="24"/>
    </row>
    <row r="1759" spans="5:10" x14ac:dyDescent="0.25">
      <c r="E1759" s="24"/>
      <c r="J1759" s="24"/>
    </row>
    <row r="1760" spans="5:10" x14ac:dyDescent="0.25">
      <c r="E1760" s="24"/>
      <c r="J1760" s="24"/>
    </row>
    <row r="1761" spans="5:10" x14ac:dyDescent="0.25">
      <c r="E1761" s="24"/>
      <c r="J1761" s="24"/>
    </row>
    <row r="1762" spans="5:10" x14ac:dyDescent="0.25">
      <c r="E1762" s="24"/>
      <c r="J1762" s="24"/>
    </row>
    <row r="1763" spans="5:10" x14ac:dyDescent="0.25">
      <c r="E1763" s="24"/>
      <c r="J1763" s="24"/>
    </row>
    <row r="1764" spans="5:10" x14ac:dyDescent="0.25">
      <c r="E1764" s="24"/>
      <c r="J1764" s="24"/>
    </row>
    <row r="1765" spans="5:10" x14ac:dyDescent="0.25">
      <c r="E1765" s="24"/>
      <c r="J1765" s="24"/>
    </row>
    <row r="1766" spans="5:10" x14ac:dyDescent="0.25">
      <c r="E1766" s="24"/>
      <c r="J1766" s="24"/>
    </row>
    <row r="1767" spans="5:10" x14ac:dyDescent="0.25">
      <c r="E1767" s="24"/>
      <c r="J1767" s="24"/>
    </row>
    <row r="1768" spans="5:10" x14ac:dyDescent="0.25">
      <c r="E1768" s="24"/>
      <c r="J1768" s="24"/>
    </row>
    <row r="1769" spans="5:10" x14ac:dyDescent="0.25">
      <c r="E1769" s="24"/>
      <c r="J1769" s="24"/>
    </row>
    <row r="1770" spans="5:10" x14ac:dyDescent="0.25">
      <c r="E1770" s="24"/>
      <c r="J1770" s="24"/>
    </row>
    <row r="1771" spans="5:10" x14ac:dyDescent="0.25">
      <c r="E1771" s="24"/>
      <c r="J1771" s="24"/>
    </row>
    <row r="1772" spans="5:10" x14ac:dyDescent="0.25">
      <c r="E1772" s="24"/>
      <c r="J1772" s="24"/>
    </row>
    <row r="1773" spans="5:10" x14ac:dyDescent="0.25">
      <c r="E1773" s="24"/>
      <c r="J1773" s="24"/>
    </row>
    <row r="1774" spans="5:10" x14ac:dyDescent="0.25">
      <c r="E1774" s="24"/>
      <c r="J1774" s="24"/>
    </row>
    <row r="1775" spans="5:10" x14ac:dyDescent="0.25">
      <c r="E1775" s="24"/>
      <c r="J1775" s="24"/>
    </row>
    <row r="1776" spans="5:10" x14ac:dyDescent="0.25">
      <c r="E1776" s="24"/>
      <c r="J1776" s="24"/>
    </row>
    <row r="1777" spans="5:10" x14ac:dyDescent="0.25">
      <c r="E1777" s="24"/>
      <c r="J1777" s="24"/>
    </row>
    <row r="1778" spans="5:10" x14ac:dyDescent="0.25">
      <c r="E1778" s="24"/>
      <c r="J1778" s="24"/>
    </row>
    <row r="1779" spans="5:10" x14ac:dyDescent="0.25">
      <c r="E1779" s="24"/>
      <c r="J1779" s="24"/>
    </row>
    <row r="1780" spans="5:10" x14ac:dyDescent="0.25">
      <c r="E1780" s="24"/>
      <c r="J1780" s="24"/>
    </row>
    <row r="1781" spans="5:10" x14ac:dyDescent="0.25">
      <c r="E1781" s="24"/>
      <c r="J1781" s="24"/>
    </row>
    <row r="1782" spans="5:10" x14ac:dyDescent="0.25">
      <c r="E1782" s="24"/>
      <c r="J1782" s="24"/>
    </row>
    <row r="1783" spans="5:10" x14ac:dyDescent="0.25">
      <c r="E1783" s="24"/>
      <c r="J1783" s="24"/>
    </row>
    <row r="1784" spans="5:10" x14ac:dyDescent="0.25">
      <c r="E1784" s="24"/>
      <c r="J1784" s="24"/>
    </row>
    <row r="1785" spans="5:10" x14ac:dyDescent="0.25">
      <c r="E1785" s="24"/>
      <c r="J1785" s="24"/>
    </row>
    <row r="1786" spans="5:10" x14ac:dyDescent="0.25">
      <c r="E1786" s="24"/>
      <c r="J1786" s="24"/>
    </row>
    <row r="1787" spans="5:10" x14ac:dyDescent="0.25">
      <c r="E1787" s="24"/>
      <c r="J1787" s="24"/>
    </row>
    <row r="1788" spans="5:10" x14ac:dyDescent="0.25">
      <c r="E1788" s="24"/>
      <c r="J1788" s="24"/>
    </row>
    <row r="1789" spans="5:10" x14ac:dyDescent="0.25">
      <c r="E1789" s="24"/>
      <c r="J1789" s="24"/>
    </row>
    <row r="1790" spans="5:10" x14ac:dyDescent="0.25">
      <c r="E1790" s="24"/>
      <c r="J1790" s="24"/>
    </row>
    <row r="1791" spans="5:10" x14ac:dyDescent="0.25">
      <c r="E1791" s="24"/>
      <c r="J1791" s="24"/>
    </row>
    <row r="1792" spans="5:10" x14ac:dyDescent="0.25">
      <c r="E1792" s="24"/>
      <c r="J1792" s="24"/>
    </row>
    <row r="1793" spans="5:10" x14ac:dyDescent="0.25">
      <c r="E1793" s="24"/>
      <c r="J1793" s="24"/>
    </row>
    <row r="1794" spans="5:10" x14ac:dyDescent="0.25">
      <c r="E1794" s="24"/>
      <c r="J1794" s="24"/>
    </row>
    <row r="1795" spans="5:10" x14ac:dyDescent="0.25">
      <c r="E1795" s="24"/>
      <c r="J1795" s="24"/>
    </row>
    <row r="1796" spans="5:10" x14ac:dyDescent="0.25">
      <c r="E1796" s="24"/>
      <c r="J1796" s="24"/>
    </row>
    <row r="1797" spans="5:10" x14ac:dyDescent="0.25">
      <c r="E1797" s="24"/>
      <c r="J1797" s="24"/>
    </row>
    <row r="1798" spans="5:10" x14ac:dyDescent="0.25">
      <c r="E1798" s="24"/>
      <c r="J1798" s="24"/>
    </row>
    <row r="1799" spans="5:10" x14ac:dyDescent="0.25">
      <c r="E1799" s="24"/>
      <c r="J1799" s="24"/>
    </row>
    <row r="1800" spans="5:10" x14ac:dyDescent="0.25">
      <c r="E1800" s="24"/>
      <c r="J1800" s="24"/>
    </row>
    <row r="1801" spans="5:10" x14ac:dyDescent="0.25">
      <c r="E1801" s="24"/>
      <c r="J1801" s="24"/>
    </row>
    <row r="1802" spans="5:10" x14ac:dyDescent="0.25">
      <c r="E1802" s="24"/>
      <c r="J1802" s="24"/>
    </row>
    <row r="1803" spans="5:10" x14ac:dyDescent="0.25">
      <c r="E1803" s="24"/>
      <c r="J1803" s="24"/>
    </row>
    <row r="1804" spans="5:10" x14ac:dyDescent="0.25">
      <c r="E1804" s="24"/>
      <c r="J1804" s="24"/>
    </row>
    <row r="1805" spans="5:10" x14ac:dyDescent="0.25">
      <c r="E1805" s="24"/>
      <c r="J1805" s="24"/>
    </row>
    <row r="1806" spans="5:10" x14ac:dyDescent="0.25">
      <c r="E1806" s="24"/>
      <c r="J1806" s="24"/>
    </row>
    <row r="1807" spans="5:10" x14ac:dyDescent="0.25">
      <c r="E1807" s="24"/>
      <c r="J1807" s="24"/>
    </row>
    <row r="1808" spans="5:10" x14ac:dyDescent="0.25">
      <c r="E1808" s="24"/>
      <c r="J1808" s="24"/>
    </row>
    <row r="1809" spans="5:10" x14ac:dyDescent="0.25">
      <c r="E1809" s="24"/>
      <c r="J1809" s="24"/>
    </row>
    <row r="1810" spans="5:10" x14ac:dyDescent="0.25">
      <c r="E1810" s="24"/>
      <c r="J1810" s="24"/>
    </row>
    <row r="1811" spans="5:10" x14ac:dyDescent="0.25">
      <c r="E1811" s="24"/>
      <c r="J1811" s="24"/>
    </row>
    <row r="1812" spans="5:10" x14ac:dyDescent="0.25">
      <c r="E1812" s="24"/>
      <c r="J1812" s="24"/>
    </row>
    <row r="1813" spans="5:10" x14ac:dyDescent="0.25">
      <c r="E1813" s="24"/>
      <c r="J1813" s="24"/>
    </row>
    <row r="1814" spans="5:10" x14ac:dyDescent="0.25">
      <c r="E1814" s="24"/>
      <c r="J1814" s="24"/>
    </row>
    <row r="1815" spans="5:10" x14ac:dyDescent="0.25">
      <c r="E1815" s="24"/>
      <c r="J1815" s="24"/>
    </row>
    <row r="1816" spans="5:10" x14ac:dyDescent="0.25">
      <c r="E1816" s="24"/>
      <c r="J1816" s="24"/>
    </row>
    <row r="1817" spans="5:10" x14ac:dyDescent="0.25">
      <c r="E1817" s="24"/>
      <c r="J1817" s="24"/>
    </row>
    <row r="1818" spans="5:10" x14ac:dyDescent="0.25">
      <c r="E1818" s="24"/>
      <c r="J1818" s="24"/>
    </row>
    <row r="1819" spans="5:10" x14ac:dyDescent="0.25">
      <c r="E1819" s="24"/>
      <c r="J1819" s="24"/>
    </row>
    <row r="1820" spans="5:10" x14ac:dyDescent="0.25">
      <c r="E1820" s="24"/>
      <c r="J1820" s="24"/>
    </row>
    <row r="1821" spans="5:10" x14ac:dyDescent="0.25">
      <c r="E1821" s="24"/>
      <c r="J1821" s="24"/>
    </row>
    <row r="1822" spans="5:10" x14ac:dyDescent="0.25">
      <c r="E1822" s="24"/>
      <c r="J1822" s="24"/>
    </row>
    <row r="1823" spans="5:10" x14ac:dyDescent="0.25">
      <c r="E1823" s="24"/>
      <c r="J1823" s="24"/>
    </row>
    <row r="1824" spans="5:10" x14ac:dyDescent="0.25">
      <c r="E1824" s="24"/>
      <c r="J1824" s="24"/>
    </row>
    <row r="1825" spans="5:10" x14ac:dyDescent="0.25">
      <c r="E1825" s="24"/>
      <c r="J1825" s="24"/>
    </row>
    <row r="1826" spans="5:10" x14ac:dyDescent="0.25">
      <c r="E1826" s="24"/>
      <c r="J1826" s="24"/>
    </row>
    <row r="1827" spans="5:10" x14ac:dyDescent="0.25">
      <c r="E1827" s="24"/>
      <c r="J1827" s="24"/>
    </row>
    <row r="1828" spans="5:10" x14ac:dyDescent="0.25">
      <c r="E1828" s="24"/>
      <c r="J1828" s="24"/>
    </row>
    <row r="1829" spans="5:10" x14ac:dyDescent="0.25">
      <c r="E1829" s="24"/>
      <c r="J1829" s="24"/>
    </row>
    <row r="1830" spans="5:10" x14ac:dyDescent="0.25">
      <c r="E1830" s="24"/>
      <c r="J1830" s="24"/>
    </row>
    <row r="1831" spans="5:10" x14ac:dyDescent="0.25">
      <c r="E1831" s="24"/>
      <c r="J1831" s="24"/>
    </row>
    <row r="1832" spans="5:10" x14ac:dyDescent="0.25">
      <c r="E1832" s="24"/>
      <c r="J1832" s="24"/>
    </row>
    <row r="1833" spans="5:10" x14ac:dyDescent="0.25">
      <c r="E1833" s="24"/>
      <c r="J1833" s="24"/>
    </row>
    <row r="1834" spans="5:10" x14ac:dyDescent="0.25">
      <c r="E1834" s="24"/>
      <c r="J1834" s="24"/>
    </row>
    <row r="1835" spans="5:10" x14ac:dyDescent="0.25">
      <c r="E1835" s="24"/>
      <c r="J1835" s="24"/>
    </row>
    <row r="1836" spans="5:10" x14ac:dyDescent="0.25">
      <c r="E1836" s="24"/>
      <c r="J1836" s="24"/>
    </row>
    <row r="1837" spans="5:10" x14ac:dyDescent="0.25">
      <c r="E1837" s="24"/>
      <c r="J1837" s="24"/>
    </row>
    <row r="1838" spans="5:10" x14ac:dyDescent="0.25">
      <c r="E1838" s="24"/>
      <c r="J1838" s="24"/>
    </row>
    <row r="1839" spans="5:10" x14ac:dyDescent="0.25">
      <c r="E1839" s="24"/>
      <c r="J1839" s="24"/>
    </row>
    <row r="1840" spans="5:10" x14ac:dyDescent="0.25">
      <c r="E1840" s="24"/>
      <c r="J1840" s="24"/>
    </row>
    <row r="1841" spans="5:10" x14ac:dyDescent="0.25">
      <c r="E1841" s="24"/>
      <c r="J1841" s="24"/>
    </row>
    <row r="1842" spans="5:10" x14ac:dyDescent="0.25">
      <c r="E1842" s="24"/>
      <c r="J1842" s="24"/>
    </row>
    <row r="1843" spans="5:10" x14ac:dyDescent="0.25">
      <c r="E1843" s="24"/>
      <c r="J1843" s="24"/>
    </row>
    <row r="1844" spans="5:10" x14ac:dyDescent="0.25">
      <c r="E1844" s="24"/>
      <c r="J1844" s="24"/>
    </row>
    <row r="1845" spans="5:10" x14ac:dyDescent="0.25">
      <c r="E1845" s="24"/>
      <c r="J1845" s="24"/>
    </row>
    <row r="1846" spans="5:10" x14ac:dyDescent="0.25">
      <c r="E1846" s="24"/>
      <c r="J1846" s="24"/>
    </row>
    <row r="1847" spans="5:10" x14ac:dyDescent="0.25">
      <c r="E1847" s="24"/>
      <c r="J1847" s="24"/>
    </row>
    <row r="1848" spans="5:10" x14ac:dyDescent="0.25">
      <c r="E1848" s="24"/>
      <c r="J1848" s="24"/>
    </row>
    <row r="1849" spans="5:10" x14ac:dyDescent="0.25">
      <c r="E1849" s="24"/>
      <c r="J1849" s="24"/>
    </row>
    <row r="1850" spans="5:10" x14ac:dyDescent="0.25">
      <c r="E1850" s="24"/>
      <c r="J1850" s="24"/>
    </row>
    <row r="1851" spans="5:10" x14ac:dyDescent="0.25">
      <c r="E1851" s="24"/>
      <c r="J1851" s="24"/>
    </row>
    <row r="1852" spans="5:10" x14ac:dyDescent="0.25">
      <c r="E1852" s="24"/>
      <c r="J1852" s="24"/>
    </row>
    <row r="1853" spans="5:10" x14ac:dyDescent="0.25">
      <c r="E1853" s="24"/>
      <c r="J1853" s="24"/>
    </row>
    <row r="1854" spans="5:10" x14ac:dyDescent="0.25">
      <c r="E1854" s="24"/>
      <c r="J1854" s="24"/>
    </row>
    <row r="1855" spans="5:10" x14ac:dyDescent="0.25">
      <c r="E1855" s="24"/>
      <c r="J1855" s="24"/>
    </row>
    <row r="1856" spans="5:10" x14ac:dyDescent="0.25">
      <c r="E1856" s="24"/>
      <c r="J1856" s="24"/>
    </row>
    <row r="1857" spans="5:10" x14ac:dyDescent="0.25">
      <c r="E1857" s="24"/>
      <c r="J1857" s="24"/>
    </row>
    <row r="1858" spans="5:10" x14ac:dyDescent="0.25">
      <c r="E1858" s="24"/>
      <c r="J1858" s="24"/>
    </row>
    <row r="1859" spans="5:10" x14ac:dyDescent="0.25">
      <c r="E1859" s="24"/>
      <c r="J1859" s="24"/>
    </row>
    <row r="1860" spans="5:10" x14ac:dyDescent="0.25">
      <c r="E1860" s="24"/>
      <c r="J1860" s="24"/>
    </row>
    <row r="1861" spans="5:10" x14ac:dyDescent="0.25">
      <c r="E1861" s="24"/>
      <c r="J1861" s="24"/>
    </row>
    <row r="1862" spans="5:10" x14ac:dyDescent="0.25">
      <c r="E1862" s="24"/>
      <c r="J1862" s="24"/>
    </row>
    <row r="1863" spans="5:10" x14ac:dyDescent="0.25">
      <c r="E1863" s="24"/>
      <c r="J1863" s="24"/>
    </row>
    <row r="1864" spans="5:10" x14ac:dyDescent="0.25">
      <c r="E1864" s="24"/>
      <c r="J1864" s="24"/>
    </row>
    <row r="1865" spans="5:10" x14ac:dyDescent="0.25">
      <c r="E1865" s="24"/>
      <c r="J1865" s="24"/>
    </row>
    <row r="1866" spans="5:10" x14ac:dyDescent="0.25">
      <c r="E1866" s="24"/>
      <c r="J1866" s="24"/>
    </row>
    <row r="1867" spans="5:10" x14ac:dyDescent="0.25">
      <c r="E1867" s="24"/>
      <c r="J1867" s="24"/>
    </row>
    <row r="1868" spans="5:10" x14ac:dyDescent="0.25">
      <c r="E1868" s="24"/>
      <c r="J1868" s="24"/>
    </row>
    <row r="1869" spans="5:10" x14ac:dyDescent="0.25">
      <c r="E1869" s="24"/>
      <c r="J1869" s="24"/>
    </row>
    <row r="1870" spans="5:10" x14ac:dyDescent="0.25">
      <c r="E1870" s="24"/>
      <c r="J1870" s="24"/>
    </row>
    <row r="1871" spans="5:10" x14ac:dyDescent="0.25">
      <c r="E1871" s="24"/>
      <c r="J1871" s="24"/>
    </row>
    <row r="1872" spans="5:10" x14ac:dyDescent="0.25">
      <c r="E1872" s="24"/>
      <c r="J1872" s="24"/>
    </row>
    <row r="1873" spans="5:10" x14ac:dyDescent="0.25">
      <c r="E1873" s="24"/>
      <c r="J1873" s="24"/>
    </row>
    <row r="1874" spans="5:10" x14ac:dyDescent="0.25">
      <c r="E1874" s="24"/>
      <c r="J1874" s="24"/>
    </row>
    <row r="1875" spans="5:10" x14ac:dyDescent="0.25">
      <c r="E1875" s="24"/>
      <c r="J1875" s="24"/>
    </row>
    <row r="1876" spans="5:10" x14ac:dyDescent="0.25">
      <c r="E1876" s="24"/>
      <c r="J1876" s="24"/>
    </row>
    <row r="1877" spans="5:10" x14ac:dyDescent="0.25">
      <c r="E1877" s="24"/>
      <c r="J1877" s="24"/>
    </row>
    <row r="1878" spans="5:10" x14ac:dyDescent="0.25">
      <c r="E1878" s="24"/>
      <c r="J1878" s="24"/>
    </row>
    <row r="1879" spans="5:10" x14ac:dyDescent="0.25">
      <c r="E1879" s="24"/>
      <c r="J1879" s="24"/>
    </row>
    <row r="1880" spans="5:10" x14ac:dyDescent="0.25">
      <c r="E1880" s="24"/>
      <c r="J1880" s="24"/>
    </row>
    <row r="1881" spans="5:10" x14ac:dyDescent="0.25">
      <c r="E1881" s="24"/>
      <c r="J1881" s="24"/>
    </row>
    <row r="1882" spans="5:10" x14ac:dyDescent="0.25">
      <c r="E1882" s="24"/>
      <c r="J1882" s="24"/>
    </row>
    <row r="1883" spans="5:10" x14ac:dyDescent="0.25">
      <c r="E1883" s="24"/>
      <c r="J1883" s="24"/>
    </row>
    <row r="1884" spans="5:10" x14ac:dyDescent="0.25">
      <c r="E1884" s="24"/>
      <c r="J1884" s="24"/>
    </row>
    <row r="1885" spans="5:10" x14ac:dyDescent="0.25">
      <c r="E1885" s="24"/>
      <c r="J1885" s="24"/>
    </row>
    <row r="1886" spans="5:10" x14ac:dyDescent="0.25">
      <c r="E1886" s="24"/>
      <c r="J1886" s="24"/>
    </row>
    <row r="1887" spans="5:10" x14ac:dyDescent="0.25">
      <c r="E1887" s="24"/>
      <c r="J1887" s="24"/>
    </row>
    <row r="1888" spans="5:10" x14ac:dyDescent="0.25">
      <c r="E1888" s="24"/>
      <c r="J1888" s="24"/>
    </row>
    <row r="1889" spans="5:10" x14ac:dyDescent="0.25">
      <c r="E1889" s="24"/>
      <c r="J1889" s="24"/>
    </row>
    <row r="1890" spans="5:10" x14ac:dyDescent="0.25">
      <c r="E1890" s="24"/>
      <c r="J1890" s="24"/>
    </row>
    <row r="1891" spans="5:10" x14ac:dyDescent="0.25">
      <c r="E1891" s="24"/>
      <c r="J1891" s="24"/>
    </row>
    <row r="1892" spans="5:10" x14ac:dyDescent="0.25">
      <c r="E1892" s="24"/>
      <c r="J1892" s="24"/>
    </row>
    <row r="1893" spans="5:10" x14ac:dyDescent="0.25">
      <c r="E1893" s="24"/>
      <c r="J1893" s="24"/>
    </row>
    <row r="1894" spans="5:10" x14ac:dyDescent="0.25">
      <c r="E1894" s="24"/>
      <c r="J1894" s="24"/>
    </row>
    <row r="1895" spans="5:10" x14ac:dyDescent="0.25">
      <c r="E1895" s="24"/>
      <c r="J1895" s="24"/>
    </row>
    <row r="1896" spans="5:10" x14ac:dyDescent="0.25">
      <c r="E1896" s="24"/>
      <c r="J1896" s="24"/>
    </row>
    <row r="1897" spans="5:10" x14ac:dyDescent="0.25">
      <c r="E1897" s="24"/>
      <c r="J1897" s="24"/>
    </row>
    <row r="1898" spans="5:10" x14ac:dyDescent="0.25">
      <c r="E1898" s="24"/>
      <c r="J1898" s="24"/>
    </row>
    <row r="1899" spans="5:10" x14ac:dyDescent="0.25">
      <c r="E1899" s="24"/>
      <c r="J1899" s="24"/>
    </row>
    <row r="1900" spans="5:10" x14ac:dyDescent="0.25">
      <c r="E1900" s="24"/>
      <c r="J1900" s="24"/>
    </row>
    <row r="1901" spans="5:10" x14ac:dyDescent="0.25">
      <c r="E1901" s="24"/>
      <c r="J1901" s="24"/>
    </row>
    <row r="1902" spans="5:10" x14ac:dyDescent="0.25">
      <c r="E1902" s="24"/>
      <c r="J1902" s="24"/>
    </row>
    <row r="1903" spans="5:10" x14ac:dyDescent="0.25">
      <c r="E1903" s="24"/>
      <c r="J1903" s="24"/>
    </row>
    <row r="1904" spans="5:10" x14ac:dyDescent="0.25">
      <c r="E1904" s="24"/>
      <c r="J1904" s="24"/>
    </row>
    <row r="1905" spans="5:10" x14ac:dyDescent="0.25">
      <c r="E1905" s="24"/>
      <c r="J1905" s="24"/>
    </row>
    <row r="1906" spans="5:10" x14ac:dyDescent="0.25">
      <c r="E1906" s="24"/>
      <c r="J1906" s="24"/>
    </row>
    <row r="1907" spans="5:10" x14ac:dyDescent="0.25">
      <c r="E1907" s="24"/>
      <c r="J1907" s="24"/>
    </row>
    <row r="1908" spans="5:10" x14ac:dyDescent="0.25">
      <c r="E1908" s="24"/>
      <c r="J1908" s="24"/>
    </row>
    <row r="1909" spans="5:10" x14ac:dyDescent="0.25">
      <c r="E1909" s="24"/>
      <c r="J1909" s="24"/>
    </row>
    <row r="1910" spans="5:10" x14ac:dyDescent="0.25">
      <c r="E1910" s="24"/>
      <c r="J1910" s="24"/>
    </row>
    <row r="1911" spans="5:10" x14ac:dyDescent="0.25">
      <c r="E1911" s="24"/>
      <c r="J1911" s="24"/>
    </row>
    <row r="1912" spans="5:10" x14ac:dyDescent="0.25">
      <c r="E1912" s="24"/>
      <c r="J1912" s="24"/>
    </row>
    <row r="1913" spans="5:10" x14ac:dyDescent="0.25">
      <c r="E1913" s="24"/>
      <c r="J1913" s="24"/>
    </row>
    <row r="1914" spans="5:10" x14ac:dyDescent="0.25">
      <c r="E1914" s="24"/>
      <c r="J1914" s="24"/>
    </row>
    <row r="1915" spans="5:10" x14ac:dyDescent="0.25">
      <c r="E1915" s="24"/>
      <c r="J1915" s="24"/>
    </row>
    <row r="1916" spans="5:10" x14ac:dyDescent="0.25">
      <c r="E1916" s="24"/>
      <c r="J1916" s="24"/>
    </row>
    <row r="1917" spans="5:10" x14ac:dyDescent="0.25">
      <c r="E1917" s="24"/>
      <c r="J1917" s="24"/>
    </row>
    <row r="1918" spans="5:10" x14ac:dyDescent="0.25">
      <c r="E1918" s="24"/>
      <c r="J1918" s="24"/>
    </row>
    <row r="1919" spans="5:10" x14ac:dyDescent="0.25">
      <c r="E1919" s="24"/>
      <c r="J1919" s="24"/>
    </row>
    <row r="1920" spans="5:10" x14ac:dyDescent="0.25">
      <c r="E1920" s="24"/>
      <c r="J1920" s="24"/>
    </row>
    <row r="1921" spans="5:10" x14ac:dyDescent="0.25">
      <c r="E1921" s="24"/>
      <c r="J1921" s="24"/>
    </row>
    <row r="1922" spans="5:10" x14ac:dyDescent="0.25">
      <c r="E1922" s="24"/>
      <c r="J1922" s="24"/>
    </row>
    <row r="1923" spans="5:10" x14ac:dyDescent="0.25">
      <c r="E1923" s="24"/>
      <c r="J1923" s="24"/>
    </row>
    <row r="1924" spans="5:10" x14ac:dyDescent="0.25">
      <c r="E1924" s="24"/>
      <c r="J1924" s="24"/>
    </row>
    <row r="1925" spans="5:10" x14ac:dyDescent="0.25">
      <c r="E1925" s="24"/>
      <c r="J1925" s="24"/>
    </row>
    <row r="1926" spans="5:10" x14ac:dyDescent="0.25">
      <c r="E1926" s="24"/>
      <c r="J1926" s="24"/>
    </row>
    <row r="1927" spans="5:10" x14ac:dyDescent="0.25">
      <c r="E1927" s="24"/>
      <c r="J1927" s="24"/>
    </row>
    <row r="1928" spans="5:10" x14ac:dyDescent="0.25">
      <c r="E1928" s="24"/>
      <c r="J1928" s="24"/>
    </row>
    <row r="1929" spans="5:10" x14ac:dyDescent="0.25">
      <c r="E1929" s="24"/>
      <c r="J1929" s="24"/>
    </row>
    <row r="1930" spans="5:10" x14ac:dyDescent="0.25">
      <c r="E1930" s="24"/>
      <c r="J1930" s="24"/>
    </row>
    <row r="1931" spans="5:10" x14ac:dyDescent="0.25">
      <c r="E1931" s="24"/>
      <c r="J1931" s="24"/>
    </row>
    <row r="1932" spans="5:10" x14ac:dyDescent="0.25">
      <c r="E1932" s="24"/>
      <c r="J1932" s="24"/>
    </row>
    <row r="1933" spans="5:10" x14ac:dyDescent="0.25">
      <c r="E1933" s="24"/>
      <c r="J1933" s="24"/>
    </row>
    <row r="1934" spans="5:10" x14ac:dyDescent="0.25">
      <c r="E1934" s="24"/>
      <c r="J1934" s="24"/>
    </row>
    <row r="1935" spans="5:10" x14ac:dyDescent="0.25">
      <c r="E1935" s="24"/>
      <c r="J1935" s="24"/>
    </row>
    <row r="1936" spans="5:10" x14ac:dyDescent="0.25">
      <c r="E1936" s="24"/>
      <c r="J1936" s="24"/>
    </row>
    <row r="1937" spans="5:10" x14ac:dyDescent="0.25">
      <c r="E1937" s="24"/>
      <c r="J1937" s="24"/>
    </row>
    <row r="1938" spans="5:10" x14ac:dyDescent="0.25">
      <c r="E1938" s="24"/>
      <c r="J1938" s="24"/>
    </row>
    <row r="1939" spans="5:10" x14ac:dyDescent="0.25">
      <c r="E1939" s="24"/>
      <c r="J1939" s="24"/>
    </row>
    <row r="1940" spans="5:10" x14ac:dyDescent="0.25">
      <c r="E1940" s="24"/>
      <c r="J1940" s="24"/>
    </row>
    <row r="1941" spans="5:10" x14ac:dyDescent="0.25">
      <c r="E1941" s="24"/>
      <c r="J1941" s="24"/>
    </row>
    <row r="1942" spans="5:10" x14ac:dyDescent="0.25">
      <c r="E1942" s="24"/>
      <c r="J1942" s="24"/>
    </row>
    <row r="1943" spans="5:10" x14ac:dyDescent="0.25">
      <c r="E1943" s="24"/>
      <c r="J1943" s="24"/>
    </row>
    <row r="1944" spans="5:10" x14ac:dyDescent="0.25">
      <c r="E1944" s="24"/>
      <c r="J1944" s="24"/>
    </row>
    <row r="1945" spans="5:10" x14ac:dyDescent="0.25">
      <c r="E1945" s="24"/>
      <c r="J1945" s="24"/>
    </row>
    <row r="1946" spans="5:10" x14ac:dyDescent="0.25">
      <c r="E1946" s="24"/>
      <c r="J1946" s="24"/>
    </row>
    <row r="1947" spans="5:10" x14ac:dyDescent="0.25">
      <c r="E1947" s="24"/>
      <c r="J1947" s="24"/>
    </row>
    <row r="1948" spans="5:10" x14ac:dyDescent="0.25">
      <c r="E1948" s="24"/>
      <c r="J1948" s="24"/>
    </row>
    <row r="1949" spans="5:10" x14ac:dyDescent="0.25">
      <c r="E1949" s="24"/>
      <c r="J1949" s="24"/>
    </row>
    <row r="1950" spans="5:10" x14ac:dyDescent="0.25">
      <c r="E1950" s="24"/>
      <c r="J1950" s="24"/>
    </row>
    <row r="1951" spans="5:10" x14ac:dyDescent="0.25">
      <c r="E1951" s="24"/>
      <c r="J1951" s="24"/>
    </row>
    <row r="1952" spans="5:10" x14ac:dyDescent="0.25">
      <c r="E1952" s="24"/>
      <c r="J1952" s="24"/>
    </row>
    <row r="1953" spans="5:10" x14ac:dyDescent="0.25">
      <c r="E1953" s="24"/>
      <c r="J1953" s="24"/>
    </row>
    <row r="1954" spans="5:10" x14ac:dyDescent="0.25">
      <c r="E1954" s="24"/>
      <c r="J1954" s="24"/>
    </row>
    <row r="1955" spans="5:10" x14ac:dyDescent="0.25">
      <c r="E1955" s="24"/>
      <c r="J1955" s="24"/>
    </row>
    <row r="1956" spans="5:10" x14ac:dyDescent="0.25">
      <c r="E1956" s="24"/>
      <c r="J1956" s="24"/>
    </row>
    <row r="1957" spans="5:10" x14ac:dyDescent="0.25">
      <c r="E1957" s="24"/>
      <c r="J1957" s="24"/>
    </row>
    <row r="1958" spans="5:10" x14ac:dyDescent="0.25">
      <c r="E1958" s="24"/>
      <c r="J1958" s="24"/>
    </row>
    <row r="1959" spans="5:10" x14ac:dyDescent="0.25">
      <c r="E1959" s="24"/>
      <c r="J1959" s="24"/>
    </row>
    <row r="1960" spans="5:10" x14ac:dyDescent="0.25">
      <c r="E1960" s="24"/>
      <c r="J1960" s="24"/>
    </row>
    <row r="1961" spans="5:10" x14ac:dyDescent="0.25">
      <c r="E1961" s="24"/>
      <c r="J1961" s="24"/>
    </row>
    <row r="1962" spans="5:10" x14ac:dyDescent="0.25">
      <c r="E1962" s="24"/>
      <c r="J1962" s="24"/>
    </row>
    <row r="1963" spans="5:10" x14ac:dyDescent="0.25">
      <c r="E1963" s="24"/>
      <c r="J1963" s="24"/>
    </row>
    <row r="1964" spans="5:10" x14ac:dyDescent="0.25">
      <c r="E1964" s="24"/>
      <c r="J1964" s="24"/>
    </row>
    <row r="1965" spans="5:10" x14ac:dyDescent="0.25">
      <c r="E1965" s="24"/>
      <c r="J1965" s="24"/>
    </row>
    <row r="1966" spans="5:10" x14ac:dyDescent="0.25">
      <c r="E1966" s="24"/>
      <c r="J1966" s="24"/>
    </row>
    <row r="1967" spans="5:10" x14ac:dyDescent="0.25">
      <c r="E1967" s="24"/>
      <c r="J1967" s="24"/>
    </row>
    <row r="1968" spans="5:10" x14ac:dyDescent="0.25">
      <c r="E1968" s="24"/>
      <c r="J1968" s="24"/>
    </row>
    <row r="1969" spans="5:10" x14ac:dyDescent="0.25">
      <c r="E1969" s="24"/>
      <c r="J1969" s="24"/>
    </row>
    <row r="1970" spans="5:10" x14ac:dyDescent="0.25">
      <c r="E1970" s="24"/>
      <c r="J1970" s="24"/>
    </row>
    <row r="1971" spans="5:10" x14ac:dyDescent="0.25">
      <c r="E1971" s="24"/>
      <c r="J1971" s="24"/>
    </row>
    <row r="1972" spans="5:10" x14ac:dyDescent="0.25">
      <c r="E1972" s="24"/>
      <c r="J1972" s="24"/>
    </row>
    <row r="1973" spans="5:10" x14ac:dyDescent="0.25">
      <c r="E1973" s="24"/>
      <c r="J1973" s="24"/>
    </row>
    <row r="1974" spans="5:10" x14ac:dyDescent="0.25">
      <c r="E1974" s="24"/>
      <c r="J1974" s="24"/>
    </row>
    <row r="1975" spans="5:10" x14ac:dyDescent="0.25">
      <c r="E1975" s="24"/>
      <c r="J1975" s="24"/>
    </row>
    <row r="1976" spans="5:10" x14ac:dyDescent="0.25">
      <c r="E1976" s="24"/>
      <c r="J1976" s="24"/>
    </row>
    <row r="1977" spans="5:10" x14ac:dyDescent="0.25">
      <c r="E1977" s="24"/>
      <c r="J1977" s="24"/>
    </row>
    <row r="1978" spans="5:10" x14ac:dyDescent="0.25">
      <c r="E1978" s="24"/>
      <c r="J1978" s="24"/>
    </row>
    <row r="1979" spans="5:10" x14ac:dyDescent="0.25">
      <c r="E1979" s="24"/>
      <c r="J1979" s="24"/>
    </row>
    <row r="1980" spans="5:10" x14ac:dyDescent="0.25">
      <c r="E1980" s="24"/>
      <c r="J1980" s="24"/>
    </row>
    <row r="1981" spans="5:10" x14ac:dyDescent="0.25">
      <c r="E1981" s="24"/>
      <c r="J1981" s="24"/>
    </row>
    <row r="1982" spans="5:10" x14ac:dyDescent="0.25">
      <c r="E1982" s="24"/>
      <c r="J1982" s="24"/>
    </row>
    <row r="1983" spans="5:10" x14ac:dyDescent="0.25">
      <c r="E1983" s="24"/>
      <c r="J1983" s="24"/>
    </row>
    <row r="1984" spans="5:10" x14ac:dyDescent="0.25">
      <c r="E1984" s="24"/>
      <c r="J1984" s="24"/>
    </row>
    <row r="1985" spans="5:10" x14ac:dyDescent="0.25">
      <c r="E1985" s="24"/>
      <c r="J1985" s="24"/>
    </row>
    <row r="1986" spans="5:10" x14ac:dyDescent="0.25">
      <c r="E1986" s="24"/>
      <c r="J1986" s="24"/>
    </row>
    <row r="1987" spans="5:10" x14ac:dyDescent="0.25">
      <c r="E1987" s="24"/>
      <c r="J1987" s="24"/>
    </row>
    <row r="1988" spans="5:10" x14ac:dyDescent="0.25">
      <c r="E1988" s="24"/>
      <c r="J1988" s="24"/>
    </row>
    <row r="1989" spans="5:10" x14ac:dyDescent="0.25">
      <c r="E1989" s="24"/>
      <c r="J1989" s="24"/>
    </row>
    <row r="1990" spans="5:10" x14ac:dyDescent="0.25">
      <c r="E1990" s="24"/>
      <c r="J1990" s="24"/>
    </row>
    <row r="1991" spans="5:10" x14ac:dyDescent="0.25">
      <c r="E1991" s="24"/>
      <c r="J1991" s="24"/>
    </row>
    <row r="1992" spans="5:10" x14ac:dyDescent="0.25">
      <c r="E1992" s="24"/>
      <c r="J1992" s="24"/>
    </row>
    <row r="1993" spans="5:10" x14ac:dyDescent="0.25">
      <c r="E1993" s="24"/>
      <c r="J1993" s="24"/>
    </row>
    <row r="1994" spans="5:10" x14ac:dyDescent="0.25">
      <c r="E1994" s="24"/>
      <c r="J1994" s="24"/>
    </row>
    <row r="1995" spans="5:10" x14ac:dyDescent="0.25">
      <c r="E1995" s="24"/>
      <c r="J1995" s="24"/>
    </row>
    <row r="1996" spans="5:10" x14ac:dyDescent="0.25">
      <c r="E1996" s="24"/>
      <c r="J1996" s="24"/>
    </row>
    <row r="1997" spans="5:10" x14ac:dyDescent="0.25">
      <c r="E1997" s="24"/>
      <c r="J1997" s="24"/>
    </row>
    <row r="1998" spans="5:10" x14ac:dyDescent="0.25">
      <c r="E1998" s="24"/>
      <c r="J1998" s="24"/>
    </row>
    <row r="1999" spans="5:10" x14ac:dyDescent="0.25">
      <c r="E1999" s="24"/>
      <c r="J1999" s="24"/>
    </row>
    <row r="2000" spans="5:10" x14ac:dyDescent="0.25">
      <c r="E2000" s="24"/>
      <c r="J2000" s="24"/>
    </row>
    <row r="2001" spans="5:10" x14ac:dyDescent="0.25">
      <c r="E2001" s="24"/>
      <c r="J2001" s="24"/>
    </row>
    <row r="2002" spans="5:10" x14ac:dyDescent="0.25">
      <c r="E2002" s="24"/>
      <c r="J2002" s="24"/>
    </row>
    <row r="2003" spans="5:10" x14ac:dyDescent="0.25">
      <c r="E2003" s="24"/>
      <c r="J2003" s="24"/>
    </row>
    <row r="2004" spans="5:10" x14ac:dyDescent="0.25">
      <c r="E2004" s="24"/>
      <c r="J2004" s="24"/>
    </row>
    <row r="2005" spans="5:10" x14ac:dyDescent="0.25">
      <c r="E2005" s="24"/>
      <c r="J2005" s="2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RunScenarios3">
                <anchor moveWithCells="1">
                  <from>
                    <xdr:col>1</xdr:col>
                    <xdr:colOff>9525</xdr:colOff>
                    <xdr:row>4</xdr:row>
                    <xdr:rowOff>114300</xdr:rowOff>
                  </from>
                  <to>
                    <xdr:col>1</xdr:col>
                    <xdr:colOff>2247900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Model</vt:lpstr>
      <vt:lpstr>Scenarios</vt:lpstr>
      <vt:lpstr>Monte Carlo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Cristian Badarinza</cp:lastModifiedBy>
  <dcterms:created xsi:type="dcterms:W3CDTF">2017-08-02T15:57:59Z</dcterms:created>
  <dcterms:modified xsi:type="dcterms:W3CDTF">2022-09-05T02:54:32Z</dcterms:modified>
</cp:coreProperties>
</file>